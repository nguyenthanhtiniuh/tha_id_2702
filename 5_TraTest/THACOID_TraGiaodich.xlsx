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nt.BRAVO\Desktop\TRATEST\"/>
    </mc:Choice>
  </mc:AlternateContent>
  <xr:revisionPtr revIDLastSave="0" documentId="13_ncr:1_{32B1D63B-36AE-4F7D-8832-C0D7EE50A88B}" xr6:coauthVersionLast="47" xr6:coauthVersionMax="47" xr10:uidLastSave="{00000000-0000-0000-0000-000000000000}"/>
  <bookViews>
    <workbookView xWindow="-28920" yWindow="1605" windowWidth="29040" windowHeight="15720" activeTab="1" xr2:uid="{00000000-000D-0000-FFFF-FFFF00000000}"/>
  </bookViews>
  <sheets>
    <sheet name="Editor_Explorer_All" sheetId="1" r:id="rId1"/>
    <sheet name="Thang08_2026" sheetId="3" r:id="rId2"/>
    <sheet name="Sheet1" sheetId="4" r:id="rId3"/>
    <sheet name="Reporter" sheetId="2" r:id="rId4"/>
  </sheets>
  <definedNames>
    <definedName name="_xlnm._FilterDatabase" localSheetId="0" hidden="1">Editor_Explorer_All!$A$1:$R$172</definedName>
    <definedName name="_xlnm._FilterDatabase" localSheetId="1" hidden="1">Thang08_2026!$O$1:$O$113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B1" i="4" a="1"/>
  <c r="B1" i="4" s="1"/>
  <c r="D2" i="3" a="1"/>
  <c r="D2" i="3" s="1"/>
  <c r="A2" i="2" a="1"/>
  <c r="A2" i="2" s="1"/>
  <c r="I11" i="3"/>
  <c r="I10" i="3"/>
  <c r="I9" i="3"/>
  <c r="I8" i="3"/>
  <c r="I7" i="3"/>
  <c r="I6" i="3"/>
  <c r="I5" i="3"/>
  <c r="I4" i="3"/>
  <c r="I3" i="3"/>
  <c r="I2" i="3"/>
  <c r="H12" i="3"/>
  <c r="J12" i="3"/>
  <c r="D2" i="1" a="1"/>
  <c r="D2" i="1" s="1"/>
  <c r="C1" i="4" l="1"/>
  <c r="I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<sst xmlns="http://schemas.openxmlformats.org/spreadsheetml/2006/main" count="2902" uniqueCount="653">
  <si>
    <t>CommandKeyB7</t>
  </si>
  <si>
    <t>Id</t>
  </si>
  <si>
    <t>ParentId</t>
  </si>
  <si>
    <t>IsGroup</t>
  </si>
  <si>
    <t>CommandKey</t>
  </si>
  <si>
    <t>Parent_CommandKey</t>
  </si>
  <si>
    <t>Text</t>
  </si>
  <si>
    <t>DLLName</t>
  </si>
  <si>
    <t>ClassName</t>
  </si>
  <si>
    <t>CtorArgs</t>
  </si>
  <si>
    <t>IsActive</t>
  </si>
  <si>
    <t>CreatedBy</t>
  </si>
  <si>
    <t>CreatedAt</t>
  </si>
  <si>
    <t>ModifiedBy</t>
  </si>
  <si>
    <t>ModifiedAt</t>
  </si>
  <si>
    <t>TCDoc</t>
  </si>
  <si>
    <t>False</t>
  </si>
  <si>
    <t>Danh sách tài sản thế chấp</t>
  </si>
  <si>
    <t>DataExplorer</t>
  </si>
  <si>
    <t>TemplateName=BizDocVoucher;</t>
  </si>
  <si>
    <t>True</t>
  </si>
  <si>
    <t>TAXPLAN</t>
  </si>
  <si>
    <t>Kế hoạch nộp thuế</t>
  </si>
  <si>
    <t>TemplateName=ACC_DataExplorer;</t>
  </si>
  <si>
    <t>EDIT_TCDoc</t>
  </si>
  <si>
    <t>Cập nhật Tài sản thế chấp</t>
  </si>
  <si>
    <t>DataEditor</t>
  </si>
  <si>
    <t>TemplateName=BizDocEditor;</t>
  </si>
  <si>
    <t>EDIT_TAXPLAN</t>
  </si>
  <si>
    <t>Cập nhật kế hoạch nộp thuế</t>
  </si>
  <si>
    <t>Edit work process</t>
  </si>
  <si>
    <t>TemplateName=ACC_DataEditor;</t>
  </si>
  <si>
    <t>DEF_TAXEXPORT0</t>
  </si>
  <si>
    <t>KB công thức báo cáo thuế theo sắc thuế và địa bàn( theo đơn vị)</t>
  </si>
  <si>
    <t>SelectDataMode=MultiValues;TemplateName=ACC_DefEditor;</t>
  </si>
  <si>
    <t>API_ItemRowGetForRep</t>
  </si>
  <si>
    <t>API cập nhật danh sách vật tư</t>
  </si>
  <si>
    <t>API for updating document categories.</t>
  </si>
  <si>
    <t>StartupCommandKey=New;SelectDataMode=SingleValue;TemplateName=SYSTools;</t>
  </si>
  <si>
    <t>AssetFuture</t>
  </si>
  <si>
    <t>Danh mục tài sản (chưa hình thành)</t>
  </si>
  <si>
    <t>Assets register future</t>
  </si>
  <si>
    <t>ExcludedCommand=MergeCode;TemplateName=ACC_DataExplorer;</t>
  </si>
  <si>
    <t>EDIT_AssetFuture</t>
  </si>
  <si>
    <t>Cập nhật tài sản (chưa hình thành)</t>
  </si>
  <si>
    <t>Edit fixed asset future</t>
  </si>
  <si>
    <t>vB30AssetDoc_Trans.DocGroup=1;TemplateName=ACC_DataEditor;</t>
  </si>
  <si>
    <t>AssetInfoCCDC</t>
  </si>
  <si>
    <t>Khai báo thông tin hạch toán CCDC</t>
  </si>
  <si>
    <t>Declaration of CCDC accounting information</t>
  </si>
  <si>
    <t>EDIT_AssetInfoCCDC</t>
  </si>
  <si>
    <t>Cập nhật Khai báo thông tin hạch toán CCDC</t>
  </si>
  <si>
    <t>AssetInfoTS</t>
  </si>
  <si>
    <t>Khai báo thông tin hạch toán tài sản</t>
  </si>
  <si>
    <t>Declaration of asset accounting information</t>
  </si>
  <si>
    <t>EDIT_AssetInfoTS</t>
  </si>
  <si>
    <t>Cập nhật Khai báo thông tin hạch toán TS</t>
  </si>
  <si>
    <t>AssetMapping</t>
  </si>
  <si>
    <t>Khai báo mapping Danh mục B7 sang B10 cho (TS, CCDC)</t>
  </si>
  <si>
    <t>SelectDataMode=MultiValues;TemplateName=SYSTool;</t>
  </si>
  <si>
    <t>EDIT_AssetMonthDepr</t>
  </si>
  <si>
    <t>AssetMonthDepr</t>
  </si>
  <si>
    <t>Cập nhật giá trị khấu hao tháng</t>
  </si>
  <si>
    <t>Giá trị khấu hao tháng (TS-CCDC)</t>
  </si>
  <si>
    <t>EDIT_AssetMonthDepr_CCDC</t>
  </si>
  <si>
    <t>AssetMonthDepr_CCDC</t>
  </si>
  <si>
    <t>Cập nhật giá trị khấu hao tháng (CCDC)</t>
  </si>
  <si>
    <t>AssetValDoc</t>
  </si>
  <si>
    <t>Điều chỉnh tính chất và giá trị Tài sản - Công cụ</t>
  </si>
  <si>
    <t>EDIT_AssetValDoc</t>
  </si>
  <si>
    <t>Cập nhật Điều chỉnh tính chất và giá trị Tài sản - Công cụ</t>
  </si>
  <si>
    <t>EDIT_BizProcessB10</t>
  </si>
  <si>
    <t>BizProcessB10</t>
  </si>
  <si>
    <t>Cập nhật nhánh quy trình nghiệp vụ</t>
  </si>
  <si>
    <t>Edit business process group</t>
  </si>
  <si>
    <t/>
  </si>
  <si>
    <t>Quy trình duyệt chứng từ (mở rộng)</t>
  </si>
  <si>
    <t>Document review process (extended)</t>
  </si>
  <si>
    <t>RootValue=;ExcludedCommand=MergeCode;TemplateName=DataExplorerNoGroup;</t>
  </si>
  <si>
    <t>BizProcessDetailB10</t>
  </si>
  <si>
    <t>Bổ sung thông tin User duyệt</t>
  </si>
  <si>
    <t>Business process</t>
  </si>
  <si>
    <t>RootValue=;ExcludedCommand=MergeCode,New,NewAsCopy,Delete;TemplateName=DataExplorerNoGroup;</t>
  </si>
  <si>
    <t>EDIT_BizProcessDetailB10</t>
  </si>
  <si>
    <t>Cập nhật Bổ sung thông tin User duyệt</t>
  </si>
  <si>
    <t>BusinessPlan</t>
  </si>
  <si>
    <t>Khai báo công thức báo cáo kết quả sản xuất kinh doanh</t>
  </si>
  <si>
    <t>ExcludedCommand=MergeCode|MoveGroup;TemplateName=ACC_DataExplorer;</t>
  </si>
  <si>
    <t>BusinessPlanHN</t>
  </si>
  <si>
    <t>Khai báo công thức các báo cáo kế hoạch tài chính hợp nhất</t>
  </si>
  <si>
    <t>BusinessPlanPN</t>
  </si>
  <si>
    <t>Khai báo công thức báo cáo kế hoạch tài chính (đơn vị)</t>
  </si>
  <si>
    <t>EDIT_CapEx</t>
  </si>
  <si>
    <t>CapEx</t>
  </si>
  <si>
    <t>Cập nhật kế hoạch chi đầu tư</t>
  </si>
  <si>
    <t>Capital expenditure edit</t>
  </si>
  <si>
    <t>EDIT_CapEx_PLV</t>
  </si>
  <si>
    <t>CapEx_PLV</t>
  </si>
  <si>
    <t>Cập nhật kế hoạch chi đầu tư (theo Phân loại vốn)</t>
  </si>
  <si>
    <t>CapExActual</t>
  </si>
  <si>
    <t>Chi đầu tư thực tế (Khác)</t>
  </si>
  <si>
    <t>Actual revenue</t>
  </si>
  <si>
    <t>EDIT_CapExActual</t>
  </si>
  <si>
    <t>Cập nhật chi đầu tư thực tế (Khác)</t>
  </si>
  <si>
    <t>Actual revenue edit</t>
  </si>
  <si>
    <t>CapExPlan</t>
  </si>
  <si>
    <t>Kế hoạch chi đầu tư</t>
  </si>
  <si>
    <t>Capital expenditure plan</t>
  </si>
  <si>
    <t>CashflowPlan</t>
  </si>
  <si>
    <t>Khai báo công thức báo cáo Kế hoạch dòng tiền</t>
  </si>
  <si>
    <t>CategoryMapping_Explore</t>
  </si>
  <si>
    <t>Khai báo đổi mã danh mục</t>
  </si>
  <si>
    <t>TemplateName=DataExplorer;ExcludedCommands=MergeCode|Delete|Recall;</t>
  </si>
  <si>
    <t>CdzResult</t>
  </si>
  <si>
    <t>Kết quả Giá thành Sản phẩm PL</t>
  </si>
  <si>
    <t>Result Cost Product PL</t>
  </si>
  <si>
    <t>ChainDetail</t>
  </si>
  <si>
    <t>Dữ liệu phân rã</t>
  </si>
  <si>
    <t>Def_BusinessPlan</t>
  </si>
  <si>
    <t>Def_BusinessPlanHN</t>
  </si>
  <si>
    <t>Def_BusinessPlanPN</t>
  </si>
  <si>
    <t>Cập nhật khai báo công thức báo cáo kế hoạch tài chỉnh (đơn vị)</t>
  </si>
  <si>
    <t>DEF07_BusinessPlanBCDKT</t>
  </si>
  <si>
    <t>Khai báo công thức cho Bảng cân đối kế toán (KHTC)</t>
  </si>
  <si>
    <t>Report definition of balance sheet</t>
  </si>
  <si>
    <t>DEFPurchaseCost</t>
  </si>
  <si>
    <t>Cấu hình Chi phí mua hàng</t>
  </si>
  <si>
    <t>Report definition of capital investment</t>
  </si>
  <si>
    <t>SelectDataMode=MultiValues;TemplateName=DefEditor;</t>
  </si>
  <si>
    <t>EDIT_DEFWCRep</t>
  </si>
  <si>
    <t>DEFWCRep</t>
  </si>
  <si>
    <t>Cập nhật Template WorkCenter</t>
  </si>
  <si>
    <t>Template WorkCenter</t>
  </si>
  <si>
    <t>DEFZProductRep</t>
  </si>
  <si>
    <t>Template Cấu trúc giá</t>
  </si>
  <si>
    <t>EDIT_DEFZProductRep</t>
  </si>
  <si>
    <t>Cập nhật Template Cấu Trúc giá</t>
  </si>
  <si>
    <t>Delivery</t>
  </si>
  <si>
    <t>Chi phí bán hàng</t>
  </si>
  <si>
    <t>DELIVERY DECLARATION</t>
  </si>
  <si>
    <t>EDIT_Delivery</t>
  </si>
  <si>
    <t>Cập nhật bảng giá, chi phí bán hàng</t>
  </si>
  <si>
    <t>Cập nhật DELIVERY DECLARATION</t>
  </si>
  <si>
    <t>DeprAllocationRate</t>
  </si>
  <si>
    <t>Hệ số phân bổ khấu hao</t>
  </si>
  <si>
    <t>AllocationRate</t>
  </si>
  <si>
    <t>RootValue=;ExcludedCommand=MoveGroup;TemplateName=Acc_DataExplorerNoGroup;</t>
  </si>
  <si>
    <t>EDIT_DepreciationRule</t>
  </si>
  <si>
    <t>DepreciationRule</t>
  </si>
  <si>
    <t>Cập nhật danh mục loại tài sản, phân bổ</t>
  </si>
  <si>
    <t>EDIT Depreciation Rule</t>
  </si>
  <si>
    <t>Danh mục loại tài sản, phân bổ</t>
  </si>
  <si>
    <t>DeptStaffingDoc</t>
  </si>
  <si>
    <t>Định biên nhân sự</t>
  </si>
  <si>
    <t>Staffing employee</t>
  </si>
  <si>
    <t>EDIT_DeptStaffingDoc</t>
  </si>
  <si>
    <t>Cập nhật Định biên nhân sự</t>
  </si>
  <si>
    <t>EnergyUsedDocE</t>
  </si>
  <si>
    <t>Năng lượng điện phân bổ</t>
  </si>
  <si>
    <t>EDIT_EnergyUsedDocE</t>
  </si>
  <si>
    <t>Cập nhật Năng lượng điện phân bổ</t>
  </si>
  <si>
    <t>EnergyUsedDocW</t>
  </si>
  <si>
    <t>Năng lượng nước phân bổ</t>
  </si>
  <si>
    <t>EDIT_EnergyUsedDocW</t>
  </si>
  <si>
    <t>Cập nhật Năng lượng nước phân bổ</t>
  </si>
  <si>
    <t>EDIT_ExchangeRateClosed</t>
  </si>
  <si>
    <t>ExchangeRateClosed</t>
  </si>
  <si>
    <t>Cập nhật danh sách tỷ giá cuối kỳ theo hoá đơn</t>
  </si>
  <si>
    <t>Update the list of end-of-period exchange rates by invoice.</t>
  </si>
  <si>
    <t>TemplateName=DataEditor;</t>
  </si>
  <si>
    <t>FileList</t>
  </si>
  <si>
    <t>Danh sách FileList</t>
  </si>
  <si>
    <t>Edit_FileList</t>
  </si>
  <si>
    <t>Cập nhật FileList</t>
  </si>
  <si>
    <t>FinHistoricalData</t>
  </si>
  <si>
    <t>Doanh thu quá khứ</t>
  </si>
  <si>
    <t>EDIT_FinHistoricalData</t>
  </si>
  <si>
    <t>Cập nhật Doanh thu quá khứ</t>
  </si>
  <si>
    <t>Item_ItemType1</t>
  </si>
  <si>
    <t>Danh mục sản phẩm hợp nhất</t>
  </si>
  <si>
    <t>List of items</t>
  </si>
  <si>
    <t>ExcludedCommand=NewAsCopy|MergeCode|Delete|Recall;AutoRun=True;</t>
  </si>
  <si>
    <t>ItemArray</t>
  </si>
  <si>
    <t>Danh mục mảng</t>
  </si>
  <si>
    <t>List of material groups</t>
  </si>
  <si>
    <t>TemplateName=DataExplorer;ExcludedCommands=MergeCode|Delete|Recall|New|NewAsCopy;</t>
  </si>
  <si>
    <t>EDIT_ItemArray</t>
  </si>
  <si>
    <t>Cập nhật mảng</t>
  </si>
  <si>
    <t>Update material group</t>
  </si>
  <si>
    <t>TemplateName=CatApiEditor;ExcludedCommand=New|NewAsCopy|MergeCode|Delete|Recall;</t>
  </si>
  <si>
    <t>EDIT_ItemLoP</t>
  </si>
  <si>
    <t>ItemLoP</t>
  </si>
  <si>
    <t>Cập nhật Thời gian vay nguyên vật liệu</t>
  </si>
  <si>
    <t>Thời gian vay nguyên vật liệu</t>
  </si>
  <si>
    <t>Kqt02199</t>
  </si>
  <si>
    <t>KẾT QUẢ HOẠT ĐỘNG KINH DOANH 2025</t>
  </si>
  <si>
    <t>EDIT_Kqt02199</t>
  </si>
  <si>
    <t>Cập nhật KẾT QUẢ HOẠT ĐỘNG KINH DOANH 2025</t>
  </si>
  <si>
    <t>EDIT_ManyAccDocDetail</t>
  </si>
  <si>
    <t>ManyAccDocDetail</t>
  </si>
  <si>
    <t>Cập nhật Chi đầu tư, Hoạt động dòng tiền, Phân loại vốn</t>
  </si>
  <si>
    <t>Bổ sung dữ liệu Chi đầu tư</t>
  </si>
  <si>
    <t>StartupCommandKey=New;TemplateName=SYSTools;ExcludedCommand=Save;</t>
  </si>
  <si>
    <t>EDIT_ManyAccDocDetail_BT</t>
  </si>
  <si>
    <t>ManyAccDocDetail_BT</t>
  </si>
  <si>
    <t>Cập nhật Chi đầu tư, Hoạt động dòng tiền, Phân loại vốn (BT)</t>
  </si>
  <si>
    <t>EDIT_ManyAccDocSales1</t>
  </si>
  <si>
    <t>ManyAccDocSales1</t>
  </si>
  <si>
    <t>Bổ sung thông tin Nhóm sản phẩm</t>
  </si>
  <si>
    <t>EDIT_ManyAsset</t>
  </si>
  <si>
    <t>ManyAsset</t>
  </si>
  <si>
    <t>Bổ sung thông tin Tài sản/CCDC</t>
  </si>
  <si>
    <t>Edit Asset/Tool</t>
  </si>
  <si>
    <t>PrimaryKeyValue=1;StartupCommandKey=Edit;SelectDataMode=SingleValue;TemplateName=SYSTools;</t>
  </si>
  <si>
    <t>EDIT_ManyDept</t>
  </si>
  <si>
    <t>ManyDept</t>
  </si>
  <si>
    <t>Bổ sung thông tin</t>
  </si>
  <si>
    <t>Edit department</t>
  </si>
  <si>
    <t>EDIT_ManyOpenBalance</t>
  </si>
  <si>
    <t>ManyOpenBalance</t>
  </si>
  <si>
    <t>Điều chỉnh Đối tượng cho số dư đầu kỳ tài khoản</t>
  </si>
  <si>
    <t>EDIT_ManyProduct</t>
  </si>
  <si>
    <t>ManyProduct</t>
  </si>
  <si>
    <t>Bổ sung thông tin sản phẩm</t>
  </si>
  <si>
    <t>EDIT_ManyZWorkCenter</t>
  </si>
  <si>
    <t>ManyZWorkCenter</t>
  </si>
  <si>
    <t>Bổ sung thông tin WorkCenter</t>
  </si>
  <si>
    <t>OpenBiz_LC</t>
  </si>
  <si>
    <t>Số dư đầu kỳ Khế ước vay</t>
  </si>
  <si>
    <t>Opening account bizdoc</t>
  </si>
  <si>
    <t>EDIT_OpenBiz_LC</t>
  </si>
  <si>
    <t>Cập nhật số dư đầu kỳ Khế ước vay</t>
  </si>
  <si>
    <t>Edit opening account bizdoc LC</t>
  </si>
  <si>
    <t>Year=FISCALYEAR();</t>
  </si>
  <si>
    <t>EDIT_PackageDoc</t>
  </si>
  <si>
    <t>PackageDoc</t>
  </si>
  <si>
    <t>Cập nhật Khai báo đóng kiện</t>
  </si>
  <si>
    <t>Khai báo đóng kiện</t>
  </si>
  <si>
    <t>PlannedCostResult</t>
  </si>
  <si>
    <t>Kết quả Giá vốn Kế hoạch</t>
  </si>
  <si>
    <t>Planned COGS Result</t>
  </si>
  <si>
    <t>PriceCondition</t>
  </si>
  <si>
    <t>Danh mục điều kiện giao hàng</t>
  </si>
  <si>
    <t>Edit_PriceCondition</t>
  </si>
  <si>
    <t>Cập nhật Danh mục điều kiện giao hàng</t>
  </si>
  <si>
    <t>Product_KTKT_DK_RD</t>
  </si>
  <si>
    <t>Khai báo chi phí RD - Bản quyền - Hỗ trợ kỹ thuật</t>
  </si>
  <si>
    <t>EDIT_PurchaseCost</t>
  </si>
  <si>
    <t>PurchaseCost</t>
  </si>
  <si>
    <t>Cập nhật Chi phí mua/bán hàng</t>
  </si>
  <si>
    <t>Edit custom field EDIT_PurchaseCost</t>
  </si>
  <si>
    <t>ExcludedCommand=New|NewAsCopy;</t>
  </si>
  <si>
    <t>EDIT_QTCN</t>
  </si>
  <si>
    <t>QTCN</t>
  </si>
  <si>
    <t>Cập nhật BOM - Quy trình công nghệ</t>
  </si>
  <si>
    <t>Cập nhật Quy trình công nghệ</t>
  </si>
  <si>
    <t>BOM - Quy trình công nghệ</t>
  </si>
  <si>
    <t>Quy trình công nghệ</t>
  </si>
  <si>
    <t>TemplateName=ACC_DataExplorer;ExcludedCommand=New|NewAsCopy;</t>
  </si>
  <si>
    <t>QTCNConfig</t>
  </si>
  <si>
    <t>Cấu hình Quy trình công nghệ - BOM</t>
  </si>
  <si>
    <t>EDIT_QTCNConfig</t>
  </si>
  <si>
    <t>Cập nhật Cấu hình Quy trình công nghệ</t>
  </si>
  <si>
    <t>SalaryFactor</t>
  </si>
  <si>
    <t>Danh mục yếu tố lương</t>
  </si>
  <si>
    <t>EDIT_SalaryFactor</t>
  </si>
  <si>
    <t>Cập nhật danh mục yếu tố lương</t>
  </si>
  <si>
    <t>SalaryLevel</t>
  </si>
  <si>
    <t>Danh mục bậc thợ</t>
  </si>
  <si>
    <t>EDIT_SalaryLevel</t>
  </si>
  <si>
    <t>Cập nhật Danh mục bậc thợ</t>
  </si>
  <si>
    <t>Update Danh mục bậc thợ</t>
  </si>
  <si>
    <t>SalaryLevelDoc</t>
  </si>
  <si>
    <t>Khai báo thông tin bậc thợ</t>
  </si>
  <si>
    <t>EDIT_SalaryLevelDoc</t>
  </si>
  <si>
    <t>Cập nhật Thông tin bậc thợ</t>
  </si>
  <si>
    <t>Update Skilled Information</t>
  </si>
  <si>
    <t>ScrapDoc</t>
  </si>
  <si>
    <t>Bảng giá phế liệu</t>
  </si>
  <si>
    <t>EDIT_ScrapDoc</t>
  </si>
  <si>
    <t>Cập nhật Bảng giá phế liệu</t>
  </si>
  <si>
    <t>TaxExport</t>
  </si>
  <si>
    <t>KẾT QUẢ NỘP THUẾ</t>
  </si>
  <si>
    <t>EDIT_TaxExport</t>
  </si>
  <si>
    <t>Cập nhật KẾT QUẢ NỘP THUẾ</t>
  </si>
  <si>
    <t>ToolInstr_Future</t>
  </si>
  <si>
    <t>Danh mục công cụ dụng cụ (chưa hình thành)</t>
  </si>
  <si>
    <t>Tools and instrument catalogue Future</t>
  </si>
  <si>
    <t>ExcludedCommand=MergeCode;</t>
  </si>
  <si>
    <t>EDIT_ToolInstr_Future</t>
  </si>
  <si>
    <t>Cập nhật công cụ, dụng cụ (chưa hình thành)</t>
  </si>
  <si>
    <t>Edit tool &amp; instrument</t>
  </si>
  <si>
    <t>vB30AssetDoc_Trans.DocGroup=1;</t>
  </si>
  <si>
    <t>ToolsDeprAllocRate</t>
  </si>
  <si>
    <t>Hệ số phân bổ chi phí</t>
  </si>
  <si>
    <t>Tools Depr Alloc Rate</t>
  </si>
  <si>
    <t>EDIT_UH</t>
  </si>
  <si>
    <t>UH</t>
  </si>
  <si>
    <t>Dữ liệu bán hàng quá khứ</t>
  </si>
  <si>
    <t>Past sales data</t>
  </si>
  <si>
    <t>TemplateName=BizDocPOEditor;</t>
  </si>
  <si>
    <t>WCBT</t>
  </si>
  <si>
    <t>Kết quả Chi phí bảo trì</t>
  </si>
  <si>
    <t>WCCCDC</t>
  </si>
  <si>
    <t>Kết quả Chi phí phân bổ CCDC</t>
  </si>
  <si>
    <t>WCCpKhac</t>
  </si>
  <si>
    <t>Kết quả Chi phí khác</t>
  </si>
  <si>
    <t>WCCpVPDH</t>
  </si>
  <si>
    <t>Kết quả Chi phí VPDH</t>
  </si>
  <si>
    <t>WCNC</t>
  </si>
  <si>
    <t>Kết quả Chi phí nhân công</t>
  </si>
  <si>
    <t>WCNLD</t>
  </si>
  <si>
    <t>Kết quả Chi phí năng lượng điện</t>
  </si>
  <si>
    <t>WCNLG</t>
  </si>
  <si>
    <t>Kết quả Năng lượng Gas</t>
  </si>
  <si>
    <t>WCNLN</t>
  </si>
  <si>
    <t>Kết quả Chi phí năng lượng nước</t>
  </si>
  <si>
    <t>WCNX</t>
  </si>
  <si>
    <t>Kết quả Chi phí khấu hao nhà xưởng</t>
  </si>
  <si>
    <t>WCResult</t>
  </si>
  <si>
    <t>Kết quả Đơn giá</t>
  </si>
  <si>
    <t>WCTD</t>
  </si>
  <si>
    <t>Kết quả Chi phí thuê đất</t>
  </si>
  <si>
    <t>WCTS</t>
  </si>
  <si>
    <t>Kết quả Chi phí khấu hao tài sản</t>
  </si>
  <si>
    <t>WCVay</t>
  </si>
  <si>
    <t>Kết quả Chi phí vay</t>
  </si>
  <si>
    <t>WCVTP</t>
  </si>
  <si>
    <t>Kết quả Chi phí vật tư phụ</t>
  </si>
  <si>
    <t>WireHarness</t>
  </si>
  <si>
    <t>Khai báo định mức bộ dây điện  (Summary Sheet)</t>
  </si>
  <si>
    <t>Declare the rated power of the wiring harness.</t>
  </si>
  <si>
    <t>EDIT_WireHarness</t>
  </si>
  <si>
    <t>Cập nhật khai báo định mức bộ dây điện</t>
  </si>
  <si>
    <t>Update the declaration of the wiring harness specifications</t>
  </si>
  <si>
    <t>WireHarnessMonthly</t>
  </si>
  <si>
    <t>Khai báo bộ dây điện bán trong tháng</t>
  </si>
  <si>
    <t>EDIT_WireHarnessMonthly</t>
  </si>
  <si>
    <t>Cập nhật khai báo bộ dây điện bán trong tháng</t>
  </si>
  <si>
    <t>Update the declaration of electrical wire sets sold this month</t>
  </si>
  <si>
    <t>Wizard_ItemUpdated</t>
  </si>
  <si>
    <t>Additional information</t>
  </si>
  <si>
    <t>EDIT_ZBOM</t>
  </si>
  <si>
    <t>ZBOM</t>
  </si>
  <si>
    <t>Cập nhật BOM</t>
  </si>
  <si>
    <t>Edit BOM</t>
  </si>
  <si>
    <t>TemplateName=VoucherApiEditor;ExcludedCommand=New|NewAsCopy|MergeCode|Delete|Recall;</t>
  </si>
  <si>
    <t>ZCoeff</t>
  </si>
  <si>
    <t>Khai báo giá trị định mức tính Giá thành PL</t>
  </si>
  <si>
    <t>Khai báo hệ số tính giá thành PL</t>
  </si>
  <si>
    <t>ExcludedCommands=MergeCode|Recall;</t>
  </si>
  <si>
    <t>EDIT_ZCoeff</t>
  </si>
  <si>
    <t>Cập nhật Khai báo giá trị định mức tính Giá thành PL</t>
  </si>
  <si>
    <t>ZCostConstruct</t>
  </si>
  <si>
    <t>Chi phí từ xây dựng cơ bản</t>
  </si>
  <si>
    <t>EDIT_ZCostConstruct</t>
  </si>
  <si>
    <t>Cập nhật Chi phí từ xây dựng cơ bản</t>
  </si>
  <si>
    <t>ZCostLoanDoc</t>
  </si>
  <si>
    <t>Chi phí vay trung hạn</t>
  </si>
  <si>
    <t>Medium-term borrowing costs</t>
  </si>
  <si>
    <t>EDIT_ZCostLoanDoc</t>
  </si>
  <si>
    <t>Cập nhật Chi phí vay trung hạn</t>
  </si>
  <si>
    <t>Update Medium-term borrowing costs</t>
  </si>
  <si>
    <t>ZCostOtherDoc</t>
  </si>
  <si>
    <t>Chi phí khác</t>
  </si>
  <si>
    <t>EDIT_ZCostOtherDoc</t>
  </si>
  <si>
    <t>Cập nhật Chi phí Khác</t>
  </si>
  <si>
    <t>ZCostOtherDoc_VPDH</t>
  </si>
  <si>
    <t>Chi phí VPĐH</t>
  </si>
  <si>
    <t>EDIT_ZCostOtherDoc_VPDH</t>
  </si>
  <si>
    <t>Cập nhật Chi phí VPĐH</t>
  </si>
  <si>
    <t>ZCritera</t>
  </si>
  <si>
    <t>Danh mục chỉ tiêu Giá thành</t>
  </si>
  <si>
    <t>Planning target list</t>
  </si>
  <si>
    <t>EDIT_ZCritera</t>
  </si>
  <si>
    <t>Cập nhật chỉ tiêu Z</t>
  </si>
  <si>
    <t>Update planning target list</t>
  </si>
  <si>
    <t>TemplateName=CatEditor;</t>
  </si>
  <si>
    <t>ZEnergyDoc</t>
  </si>
  <si>
    <t>Bảng giá dịch vụ</t>
  </si>
  <si>
    <t>Energy price list</t>
  </si>
  <si>
    <t>EDIT_ZEnergyDoc</t>
  </si>
  <si>
    <t>Cập nhật bảng giá dịch vụ</t>
  </si>
  <si>
    <t>Update energy price list</t>
  </si>
  <si>
    <t>ZEnergyDoc_D_NX</t>
  </si>
  <si>
    <t>Bảng giá thuê đất và thuê nhà xưởng</t>
  </si>
  <si>
    <t>EDIT_ZEnergyDoc_D_NX</t>
  </si>
  <si>
    <t>Cập nhật Bảng giá thuê đất và thuê nhà xưởng</t>
  </si>
  <si>
    <t>ZItemDoc</t>
  </si>
  <si>
    <t>Bảng giá vật tư mua vào</t>
  </si>
  <si>
    <t>Item price list</t>
  </si>
  <si>
    <t>EDIT_ZItemDoc</t>
  </si>
  <si>
    <t>Cập nhật bảng giá vật tư mua vào</t>
  </si>
  <si>
    <t>Update item price list</t>
  </si>
  <si>
    <t>ZItemDocCost</t>
  </si>
  <si>
    <t>Bảng chi phí mua hàng</t>
  </si>
  <si>
    <t>Delivery costs list</t>
  </si>
  <si>
    <t>EDIT_ZItemDocCost</t>
  </si>
  <si>
    <t>Cập nhật Bảng chi phí mua hàng</t>
  </si>
  <si>
    <t>Update Delivery costs</t>
  </si>
  <si>
    <t>ZLandDoc</t>
  </si>
  <si>
    <t>Chi phí thuê đất</t>
  </si>
  <si>
    <t>Land rental costs</t>
  </si>
  <si>
    <t>EDIT_ZLandDoc</t>
  </si>
  <si>
    <t>Cập nhật Chi phí thuê đất</t>
  </si>
  <si>
    <t>Update Land rental costs</t>
  </si>
  <si>
    <t>ZProductDoc</t>
  </si>
  <si>
    <t>Bảng giá sản phẩm</t>
  </si>
  <si>
    <t>Product price list</t>
  </si>
  <si>
    <t>EDIT_ZProductDoc</t>
  </si>
  <si>
    <t>Cập nhật bảng giá sản phẩm</t>
  </si>
  <si>
    <t>Update product price list</t>
  </si>
  <si>
    <t>ZSubMaterialDoc</t>
  </si>
  <si>
    <t>Vật tư phụ</t>
  </si>
  <si>
    <t>Auxiliary materials</t>
  </si>
  <si>
    <t>EDIT_ZSubMaterialDoc</t>
  </si>
  <si>
    <t>Cập nhật Vật tư phụ</t>
  </si>
  <si>
    <t>ZWorkCenterDoc</t>
  </si>
  <si>
    <t>&lt;Bỏ&gt; Bộ chi phí nguồn lực WorkCenter</t>
  </si>
  <si>
    <t>Bộ chi phí nguồn lực WorkCenter</t>
  </si>
  <si>
    <t>EDIT_ZWorkCenterDoc</t>
  </si>
  <si>
    <t>Cập nhật bộ chi phí nguồn lực WorkCenter</t>
  </si>
  <si>
    <t>Cập nhật Khai báo thông tin work center</t>
  </si>
  <si>
    <t>EDIT_ZWorkCenterDoc_CCDC</t>
  </si>
  <si>
    <t>ZWorkCenterDoc_CCDC</t>
  </si>
  <si>
    <t>Nguồn lực WorkCenter (CCDC)</t>
  </si>
  <si>
    <t>Công cụ dụng cụ</t>
  </si>
  <si>
    <t>ZWorkCenterDoc_CPK</t>
  </si>
  <si>
    <t>EDIT_ZWorkCenterDoc_CPK</t>
  </si>
  <si>
    <t>Nguồn lực WorkCenter (Chi phí khác)</t>
  </si>
  <si>
    <t>ZWorkCenterDoc_D</t>
  </si>
  <si>
    <t>Điện</t>
  </si>
  <si>
    <t>EDIT_ZWorkCenterDoc_D</t>
  </si>
  <si>
    <t>Nguồn lực WorkCenter (Điện)</t>
  </si>
  <si>
    <t>ZWorkCenterDoc_G</t>
  </si>
  <si>
    <t>Gas</t>
  </si>
  <si>
    <t>EDIT_ZWorkCenterDoc_G</t>
  </si>
  <si>
    <t>Nguồn lực WorkCenter (GAS)</t>
  </si>
  <si>
    <t>ZWorkCenterDoc_KHNX</t>
  </si>
  <si>
    <t>Khấu hao nhà xưởng</t>
  </si>
  <si>
    <t>EDIT_ZWorkCenterDoc_KHNX</t>
  </si>
  <si>
    <t>Nguồn lực WorkCenter (Khấu hao nhà xưởng)</t>
  </si>
  <si>
    <t>ZWorkCenterDoc_N</t>
  </si>
  <si>
    <t>Nước</t>
  </si>
  <si>
    <t>EDIT_ZWorkCenterDoc_N</t>
  </si>
  <si>
    <t>Nguồn lực WorkCenter (Nước)</t>
  </si>
  <si>
    <t>ZWorkCenterDoc_NC</t>
  </si>
  <si>
    <t>Nhân công</t>
  </si>
  <si>
    <t>EDIT_ZWorkCenterDoc_NC</t>
  </si>
  <si>
    <t>Nguồn lực WorkCenter (Nhân công)</t>
  </si>
  <si>
    <t>EDIT_ZWorkCenterDoc_NLCL</t>
  </si>
  <si>
    <t>ZWorkCenterDoc_NLCL</t>
  </si>
  <si>
    <t>Cập nhật bộ chi phí nguồn lực WorkCenter (NLCL)</t>
  </si>
  <si>
    <t>ZWorkCenterDoc_TD</t>
  </si>
  <si>
    <t>Thuê đất</t>
  </si>
  <si>
    <t>EDIT_ZWorkCenterDoc_TD</t>
  </si>
  <si>
    <t>Nguồn lực WorkCenter (Thuê đất)</t>
  </si>
  <si>
    <t>EDIT_ZWorkCenterDoc_TS</t>
  </si>
  <si>
    <t>ZWorkCenterDoc_TS</t>
  </si>
  <si>
    <t>Nguồn lực WorkCenter (Tài sản)</t>
  </si>
  <si>
    <t>Tài sản - Vay - Bảo trì</t>
  </si>
  <si>
    <t>Tài sản</t>
  </si>
  <si>
    <t>EDIT_ZWorkCenterDoc_VTP</t>
  </si>
  <si>
    <t>ZWorkCenterDoc_VTP</t>
  </si>
  <si>
    <t>Nguồn lực WorkCenter (VTP)</t>
  </si>
  <si>
    <t>x</t>
  </si>
  <si>
    <t>Không còn sử dụng</t>
  </si>
  <si>
    <t>Chuyển giao Người phụ trách</t>
  </si>
  <si>
    <t>REP07_KQT_KQSXKD200WM</t>
  </si>
  <si>
    <t>Kết quả sản xuất kinh doanh theo tháng- TT99</t>
  </si>
  <si>
    <t>Reporter</t>
  </si>
  <si>
    <t>DefinitionCommandKey=DEF07_KQT_KQSXKD200;</t>
  </si>
  <si>
    <t>REP07_KQT_BCKQSXKD_Daydu</t>
  </si>
  <si>
    <t>Kết quả sản xuất kinh doanh (dạng đầy đủ)</t>
  </si>
  <si>
    <t>REP07_BCDKT200_Thang</t>
  </si>
  <si>
    <t>Bảng cân đối kế toán theo tháng - TT200</t>
  </si>
  <si>
    <t>DefinitionCommandKey=DEF07_BCTHTC_99;</t>
  </si>
  <si>
    <t>REP02_ToolInstAlloc_TG</t>
  </si>
  <si>
    <t>Bảng tính giá trị phân bổ công cụ dụng cụ theo thời gian</t>
  </si>
  <si>
    <t>REP_TSCDHN</t>
  </si>
  <si>
    <t>Báo cáo TSCĐ hợp nhất</t>
  </si>
  <si>
    <t>Report on assets</t>
  </si>
  <si>
    <t>REP_TOOLAsset</t>
  </si>
  <si>
    <t>Bảng chi tiết phân bổ giá trị khấu hao tài sản</t>
  </si>
  <si>
    <t>The table details the allocation of depreciation of assets value</t>
  </si>
  <si>
    <t>REP_TMTKDVCS</t>
  </si>
  <si>
    <t>Báo cáo thuyết minh tài khoản - Theo đơn vị cơ sở-  Hợp nhất</t>
  </si>
  <si>
    <t>REP_TMBCTSVH</t>
  </si>
  <si>
    <t>B. TMBĐTS: Tăng giảm TSCĐ vô hình</t>
  </si>
  <si>
    <t>Movement of fixed assets</t>
  </si>
  <si>
    <t>REP_TMBCTSHH</t>
  </si>
  <si>
    <t>B. TMBĐTS: Tăng giảm TSCĐ hữu hình</t>
  </si>
  <si>
    <t>REP_THTGTAISAN</t>
  </si>
  <si>
    <t>Tình hình tăng giảm TSCĐ Thaco</t>
  </si>
  <si>
    <t>REP_THCPDA</t>
  </si>
  <si>
    <t>Báo cáo tổng hợp chi phí dự án 241</t>
  </si>
  <si>
    <t>TemplateName=ACC_Reporter;</t>
  </si>
  <si>
    <t>REP_TAXEXPORT0</t>
  </si>
  <si>
    <t>Báo cáo thuế theo sắc thuế và theo địa bàn (Theo đơn vị)</t>
  </si>
  <si>
    <t>DefinitionCommandKey=DEF_TAXEXPORT0;</t>
  </si>
  <si>
    <t>AssetCardViewer</t>
  </si>
  <si>
    <t>In thẻ</t>
  </si>
  <si>
    <t>TemplateName=VoucherViewer;</t>
  </si>
  <si>
    <t>REP_ZWC</t>
  </si>
  <si>
    <t>Tổng hợp Nguồn lực</t>
  </si>
  <si>
    <t>TemplateName=ACC_Reporter;DefinitionCommandKey=DEFWCRep;</t>
  </si>
  <si>
    <t>REP_ZWC2</t>
  </si>
  <si>
    <t>Báo cáo WorkCenter</t>
  </si>
  <si>
    <t>UpdateCriterias</t>
  </si>
  <si>
    <t>Update series of Criteria</t>
  </si>
  <si>
    <t>Mode=UspCaller;</t>
  </si>
  <si>
    <t>REP_ZSpKH2</t>
  </si>
  <si>
    <t>Giá thành Sản phẩm BOM - quy trình công nghệ</t>
  </si>
  <si>
    <t>Cost of Product BOM - Technology Process</t>
  </si>
  <si>
    <t>REP_ZSPYTCP</t>
  </si>
  <si>
    <t>Giá thành sản phẩm - yếu tố chi phí</t>
  </si>
  <si>
    <t>Product Cost - Cost Factors</t>
  </si>
  <si>
    <t>REP_WC_ALL</t>
  </si>
  <si>
    <t>Bảng kê kết quả tính WC</t>
  </si>
  <si>
    <t>REP_BizDocCR</t>
  </si>
  <si>
    <t>Báo cáo chi tiết hợp đồng vay</t>
  </si>
  <si>
    <t>REP_Interest_BizDocLC</t>
  </si>
  <si>
    <t>Bảng tính lãi vay</t>
  </si>
  <si>
    <t>QTCNTemplate</t>
  </si>
  <si>
    <t>ZConvertDataB7_Asset</t>
  </si>
  <si>
    <t>Nhận dữ liệu (TS, CCDC,CPPB) từ Bravo 7 kế toán</t>
  </si>
  <si>
    <t>ItemDocViewer</t>
  </si>
  <si>
    <t>Get_Description_Table</t>
  </si>
  <si>
    <t>Get Description Table</t>
  </si>
  <si>
    <t>ZConvertB7_Customer</t>
  </si>
  <si>
    <t>Nhận dữ liệu (Đối tượng) từ Bravo 7 kế toán</t>
  </si>
  <si>
    <t>UpdateMappingAsset</t>
  </si>
  <si>
    <t>Cập nhật Tài khoản nợ có cho chi tiết tăng giảm (CCDC)</t>
  </si>
  <si>
    <t>REP_Z_B7_BanggiamuaNew</t>
  </si>
  <si>
    <t>(B7) Bảng giá mua hàng mới nhất</t>
  </si>
  <si>
    <t>UpdateMap_ByAsset</t>
  </si>
  <si>
    <t>Chuyển đổi Danh mục B7 sang B10 theo TS,CCDC</t>
  </si>
  <si>
    <t>REP_Loan_Balance</t>
  </si>
  <si>
    <t>Báo cáo chi tiết dư nợ vay</t>
  </si>
  <si>
    <t>detailed loan balance report</t>
  </si>
  <si>
    <t>REP_ConversionFactorList</t>
  </si>
  <si>
    <t>Bảng kê Yếu tố quy đổi</t>
  </si>
  <si>
    <t>Unit Conversion Factor List</t>
  </si>
  <si>
    <t>REP04_TH_NXT_AllBranch</t>
  </si>
  <si>
    <t>Tổng hợp Nhập - Xuất - Tồn (Toàn hệ thống)</t>
  </si>
  <si>
    <t>Summary report</t>
  </si>
  <si>
    <t>REP_ProductFactorList</t>
  </si>
  <si>
    <t>Kiểm tra hệ số thành phẩm - bán thành phẩm</t>
  </si>
  <si>
    <t>REP_BusinessPlan</t>
  </si>
  <si>
    <t>Báo cáo kế hoạch sản xuất kinh doanh (theo Nhóm mẹ)</t>
  </si>
  <si>
    <t>BUSINESS PRODUCTION PLAN</t>
  </si>
  <si>
    <t>TemplateName=ACC_Reporter;DefinitionCommandKey=Def_BusinessPlan;</t>
  </si>
  <si>
    <t>REP_BusinessPlanMESGroup</t>
  </si>
  <si>
    <t>Báo cáo kế hoạch sản xuất kinh doanh (KQSXKD) (I.a)</t>
  </si>
  <si>
    <t>TemplateName=ACC_Reporter;DefinitionCommandKey=BusinessPlan;</t>
  </si>
  <si>
    <t>REP_BusinessPlanPN</t>
  </si>
  <si>
    <t>Báo cáo kế hoạch doanh thu Grid2 (PN)</t>
  </si>
  <si>
    <t>TemplateName=ACC_Reporter;DefinitionCommandKey=BusinessPlanPN;</t>
  </si>
  <si>
    <t>REP_RevenuePlanSummaryHN</t>
  </si>
  <si>
    <t>Doanh thu theo khách hàng (1a)</t>
  </si>
  <si>
    <t>REP_FinPlanByWeek</t>
  </si>
  <si>
    <t>Báo cáo kế hoạch doanh thu sản phẩm theo tuần</t>
  </si>
  <si>
    <t>Report Financial Plan</t>
  </si>
  <si>
    <t>REP_DepreciationPlan</t>
  </si>
  <si>
    <t>Kế hoạch hạch toán tài sản cố định và chi phí khấu hao (4b)</t>
  </si>
  <si>
    <t>REP_KH_DT_LN_SP</t>
  </si>
  <si>
    <t>Kế hoạch doanh thu - lợi nhuận sản phẩm (I.b)</t>
  </si>
  <si>
    <t>TemplateName=ACC_Reporter;DefinitionCommandKey=BusinessPlanHN;</t>
  </si>
  <si>
    <t>REP_KH_DT_LN_SP_HN</t>
  </si>
  <si>
    <t>Kế hoạch doanh thu - lợi nhuận sản phẩm hợp nhất (I.c i.d I.e)</t>
  </si>
  <si>
    <t>REP_DirectCashPlan_HN</t>
  </si>
  <si>
    <t>Kế hoạch dòng tiền trực tiếp (hợp nhất) (IV.a)</t>
  </si>
  <si>
    <t>TemplateName=ACC_Reporter;DefinitionCommandKey=CashflowPlan;</t>
  </si>
  <si>
    <t>REP_IndirectCashPlan_HN</t>
  </si>
  <si>
    <t>Kế hoạch dòng tiền gián tiếp (hợp nhất) (III.d)</t>
  </si>
  <si>
    <t>REP_CanDoi_TS_NV_HN</t>
  </si>
  <si>
    <t>Cân đối tài sản - nguồn vốn (hợp nhất) (V.a)</t>
  </si>
  <si>
    <t>REP_KH_CP_KHao_HN</t>
  </si>
  <si>
    <t>Kế hoạch chi phí khấu hao (hợp nhất) (V.b)</t>
  </si>
  <si>
    <t>REP_OpBudgetPlan_HN</t>
  </si>
  <si>
    <t>Kế hoạch ngân sách hoạt động (hợp nhất) (VI.a)</t>
  </si>
  <si>
    <t>REP_KH_Payroll_HN</t>
  </si>
  <si>
    <t>Kế hoạch quỹ lương (hợp nhất) (VI.b)</t>
  </si>
  <si>
    <t>REP_FinanceCost_HN</t>
  </si>
  <si>
    <t>Kế hoạch chi phí tài chính (hợp nhất) (VI.c)</t>
  </si>
  <si>
    <t>REP_RevProfByProd</t>
  </si>
  <si>
    <t>Doanh thu - lợi nhuận theo sản phẩm (1b)</t>
  </si>
  <si>
    <t>REP_RevProfByCost</t>
  </si>
  <si>
    <t>Doanh thu - lợi nhuận theo yếu tố chi phí (1c)</t>
  </si>
  <si>
    <t>REP_RevProfCompany</t>
  </si>
  <si>
    <t>Doanh thu - lợi nhuận công ty (1d)</t>
  </si>
  <si>
    <t>REP_GrossProfitAnalysis</t>
  </si>
  <si>
    <t>Phân tích lợi nhuận gộp (1e)</t>
  </si>
  <si>
    <t>REP_OpCostAnalysis</t>
  </si>
  <si>
    <t>Phân tích chi phí hoạt động (1f)</t>
  </si>
  <si>
    <t>REP_AssetAccPlan</t>
  </si>
  <si>
    <t>Kế hoạch hoạch toán tài sản (2b)</t>
  </si>
  <si>
    <t>REP_DirectCashPlan</t>
  </si>
  <si>
    <t>Kế hoạch dòng tiền trực tiếp (3a)</t>
  </si>
  <si>
    <t>REP_IndirectCashPlan</t>
  </si>
  <si>
    <t>Kế hoạch dòng tiền gián tiếp (3b)</t>
  </si>
  <si>
    <t>REP_CanDoi_TS_NV</t>
  </si>
  <si>
    <t>Cân đối tài sản - nguồn vốn (4a)</t>
  </si>
  <si>
    <t>TemplateName=ACC_Reporter;DefinitionCommandKey=DEF07_BusinessPlanBCDKT;</t>
  </si>
  <si>
    <t>REP_ProductionPlan</t>
  </si>
  <si>
    <t>Báo cáo Kế hoạch sản xuất</t>
  </si>
  <si>
    <t>REP_RevenuePlanSummary</t>
  </si>
  <si>
    <t>Kế hoạch doanh thu (5c)</t>
  </si>
  <si>
    <t>REP_OpCostPlan</t>
  </si>
  <si>
    <t>Kế hoạch chi phí hoạt động (5d)</t>
  </si>
  <si>
    <t>REP_PayrollCostPlan</t>
  </si>
  <si>
    <t>Kế hoạch chi phí lương nhân sự (5e)</t>
  </si>
  <si>
    <t>REP_LoanRepayPlan</t>
  </si>
  <si>
    <t>Kế hoạch nhận nợ - trả nợ vay (5f)</t>
  </si>
  <si>
    <t>REP_BusinessPlanH_ByWeek</t>
  </si>
  <si>
    <t>Báo cáo kế hoạch sản xuất kinh doanh (KQSXKD) (I.a) theo tuần</t>
  </si>
  <si>
    <t>REP04_BK_HDBH_HN</t>
  </si>
  <si>
    <t>Bảng kê hóa đơn bán hàng (Hợp nhất)</t>
  </si>
  <si>
    <t>Invoice activities</t>
  </si>
  <si>
    <t>REP_RevenueListing</t>
  </si>
  <si>
    <t>Bảng kê Doanh thu</t>
  </si>
  <si>
    <t>REP_RevenuePlanPN_1a1</t>
  </si>
  <si>
    <t>Doanh thu theo khách hàng (1a1)</t>
  </si>
  <si>
    <t>REP_RevenuePlanPN_1a2</t>
  </si>
  <si>
    <t>Doanh thu theo khách hàng (1a2)</t>
  </si>
  <si>
    <t>REP_CapexListing</t>
  </si>
  <si>
    <t>Bảng kê chi tiết Chi đầu tư</t>
  </si>
  <si>
    <t>Capex detail List</t>
  </si>
  <si>
    <t>REP_Loan_InterestExpense</t>
  </si>
  <si>
    <t>Báo cáo nợ vay, chi phí lãi vay vốn hóa</t>
  </si>
  <si>
    <t>Loan and Interest Expense Report</t>
  </si>
  <si>
    <t>REP_EntityAssetList</t>
  </si>
  <si>
    <t>Báo cáo danh mục Tài sản chi tiết đơn vị</t>
  </si>
  <si>
    <t>Report on the list of Entity Asset</t>
  </si>
  <si>
    <t>REP_DisbPlanInvest_2a3</t>
  </si>
  <si>
    <t>Kế hoạch chi đầu tư (2a3)</t>
  </si>
  <si>
    <t>REP_BusinessMESGr_Check</t>
  </si>
  <si>
    <t>(Báo cáo check) Kế hoạch sản xuất kinh doanh (KQSXKD) (I.a)</t>
  </si>
  <si>
    <t>REP_RevenuePlanPN_1b</t>
  </si>
  <si>
    <t>Doanh thu theo khách hàng (1b)</t>
  </si>
  <si>
    <t>REP09_BKCTLC</t>
  </si>
  <si>
    <t>Bảng kê chứng từ theo L/C</t>
  </si>
  <si>
    <t>Transaction listing under guarantee contract and letter of credi</t>
  </si>
  <si>
    <t>REP_LoanIntDetail</t>
  </si>
  <si>
    <t>Bảng kê chi tiết tính lãi vay</t>
  </si>
  <si>
    <t>REP07_KQT_TMINH99_HN</t>
  </si>
  <si>
    <t>Thuyết minh báo cáo tài chính (TT99) (Hợp nhất)</t>
  </si>
  <si>
    <t>Notes to financial positions (Cir99)</t>
  </si>
  <si>
    <t>DefinitionCommandKey=DEF07_KQT_Consol;</t>
  </si>
  <si>
    <t>TRUNGHT</t>
  </si>
  <si>
    <t>THAONHP</t>
  </si>
  <si>
    <t>Stt</t>
  </si>
  <si>
    <t>2026-08-04 đã y/c 3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</si>
</sst>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/>
    <xf numFmtId="1" fontId="1" fillId="2" borderId="1" xfId="0" applyNumberFormat="1" applyFont="1" applyFill="1" applyBorder="1"/>
    <xf numFmtId="14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72"/>
  <sheetViews>
    <sheetView zoomScaleNormal="100" workbookViewId="0">
      <pane xSplit="7" ySplit="1" topLeftCell="L135" activePane="bottomRight" state="frozen"/>
      <selection pane="topRight" activeCell="G1" sqref="G1"/>
      <selection pane="bottomLeft" activeCell="A2" sqref="A2"/>
      <selection pane="bottomRight" activeCell="R171" sqref="A1:R171"/>
    </sheetView>
  </sheetViews>
  <sheetFormatPr defaultRowHeight="14.4" x14ac:dyDescent="0.3"/>
  <cols>
    <col min="1" max="1" width="16" bestFit="1" customWidth="1"/>
    <col min="2" max="2" width="15.88671875" bestFit="1" customWidth="1"/>
    <col min="3" max="3" width="11.88671875" customWidth="1"/>
    <col min="4" max="4" width="4" bestFit="1" customWidth="1"/>
    <col min="5" max="5" width="6" bestFit="1" customWidth="1"/>
    <col min="6" max="6" width="8.21875" bestFit="1" customWidth="1"/>
    <col min="7" max="7" width="7.77734375" bestFit="1" customWidth="1"/>
    <col min="8" max="8" width="26" bestFit="1" customWidth="1"/>
    <col min="9" max="9" width="24.5546875" bestFit="1" customWidth="1"/>
    <col min="10" max="11" width="57.33203125" bestFit="1" customWidth="1"/>
    <col min="12" max="12" width="11.88671875" bestFit="1" customWidth="1"/>
    <col min="13" max="13" width="95.6640625" bestFit="1" customWidth="1"/>
    <col min="14" max="14" width="7.44140625" bestFit="1" customWidth="1"/>
    <col min="15" max="15" width="9.44140625" bestFit="1" customWidth="1"/>
    <col min="16" max="16" width="21.6640625" bestFit="1" customWidth="1"/>
    <col min="17" max="17" width="10.44140625" bestFit="1" customWidth="1"/>
    <col min="18" max="18" width="21.6640625" bestFit="1" customWidth="1"/>
  </cols>
  <sheetData>
    <row r="1" spans="1:18" s="7" customFormat="1" ht="43.2" x14ac:dyDescent="0.3">
      <c r="A1" s="6" t="s">
        <v>0</v>
      </c>
      <c r="B1" s="6" t="s">
        <v>466</v>
      </c>
      <c r="C1" s="6" t="s">
        <v>467</v>
      </c>
      <c r="D1" s="6" t="s">
        <v>651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</row>
    <row r="2" spans="1:18" x14ac:dyDescent="0.3">
      <c r="A2" s="3" t="s">
        <v>15</v>
      </c>
      <c r="B2" s="3"/>
      <c r="C2" s="3"/>
      <c r="D2" s="3" cm="1">
        <f t="array" ref="D2:D172">_xlfn.SEQUENCE(COUNTA(E:E))</f>
        <v>1</v>
      </c>
      <c r="E2" s="4">
        <v>14996</v>
      </c>
      <c r="F2" s="4">
        <v>1524</v>
      </c>
      <c r="G2" s="3" t="s">
        <v>16</v>
      </c>
      <c r="H2" s="3" t="s">
        <v>15</v>
      </c>
      <c r="I2" s="3" t="s">
        <v>15</v>
      </c>
      <c r="J2" s="3" t="s">
        <v>17</v>
      </c>
      <c r="K2" s="3" t="s">
        <v>17</v>
      </c>
      <c r="L2" s="3" t="s">
        <v>18</v>
      </c>
      <c r="M2" s="3" t="s">
        <v>19</v>
      </c>
      <c r="N2" s="3" t="s">
        <v>20</v>
      </c>
      <c r="O2" s="4">
        <v>1213</v>
      </c>
      <c r="P2" s="5">
        <v>45978.247916666704</v>
      </c>
      <c r="Q2" s="4">
        <v>-1</v>
      </c>
      <c r="R2" s="5">
        <v>45978.247916666704</v>
      </c>
    </row>
    <row r="3" spans="1:18" x14ac:dyDescent="0.3">
      <c r="A3" s="3" t="s">
        <v>21</v>
      </c>
      <c r="B3" s="3"/>
      <c r="C3" s="3"/>
      <c r="D3" s="3">
        <v>2</v>
      </c>
      <c r="E3" s="4">
        <v>15241</v>
      </c>
      <c r="F3" s="4">
        <v>1528</v>
      </c>
      <c r="G3" s="3" t="s">
        <v>16</v>
      </c>
      <c r="H3" s="3" t="s">
        <v>21</v>
      </c>
      <c r="I3" s="3" t="s">
        <v>21</v>
      </c>
      <c r="J3" s="3" t="s">
        <v>22</v>
      </c>
      <c r="K3" s="3" t="s">
        <v>22</v>
      </c>
      <c r="L3" s="3" t="s">
        <v>18</v>
      </c>
      <c r="M3" s="3" t="s">
        <v>23</v>
      </c>
      <c r="N3" s="3" t="s">
        <v>20</v>
      </c>
      <c r="O3" s="4">
        <v>1213</v>
      </c>
      <c r="P3" s="5">
        <v>46088.0444444444</v>
      </c>
      <c r="Q3" s="4">
        <v>1213</v>
      </c>
      <c r="R3" s="5">
        <v>46088.056250000001</v>
      </c>
    </row>
    <row r="4" spans="1:18" x14ac:dyDescent="0.3">
      <c r="A4" s="3" t="s">
        <v>24</v>
      </c>
      <c r="B4" s="3"/>
      <c r="C4" s="3"/>
      <c r="D4" s="3">
        <v>3</v>
      </c>
      <c r="E4" s="4">
        <v>14997</v>
      </c>
      <c r="F4" s="4">
        <v>1524</v>
      </c>
      <c r="G4" s="3" t="s">
        <v>16</v>
      </c>
      <c r="H4" s="3" t="s">
        <v>24</v>
      </c>
      <c r="I4" s="3" t="s">
        <v>15</v>
      </c>
      <c r="J4" s="3" t="s">
        <v>25</v>
      </c>
      <c r="K4" s="3" t="s">
        <v>25</v>
      </c>
      <c r="L4" s="3" t="s">
        <v>26</v>
      </c>
      <c r="M4" s="3" t="s">
        <v>27</v>
      </c>
      <c r="N4" s="3" t="s">
        <v>20</v>
      </c>
      <c r="O4" s="4">
        <v>1213</v>
      </c>
      <c r="P4" s="5">
        <v>45978.247916666704</v>
      </c>
      <c r="Q4" s="4">
        <v>-1</v>
      </c>
      <c r="R4" s="5">
        <v>45978.247916666704</v>
      </c>
    </row>
    <row r="5" spans="1:18" x14ac:dyDescent="0.3">
      <c r="A5" s="3" t="s">
        <v>28</v>
      </c>
      <c r="B5" s="3"/>
      <c r="C5" s="3"/>
      <c r="D5" s="3">
        <v>4</v>
      </c>
      <c r="E5" s="4">
        <v>15242</v>
      </c>
      <c r="F5" s="4">
        <v>1528</v>
      </c>
      <c r="G5" s="3" t="s">
        <v>16</v>
      </c>
      <c r="H5" s="3" t="s">
        <v>28</v>
      </c>
      <c r="I5" s="3" t="s">
        <v>21</v>
      </c>
      <c r="J5" s="3" t="s">
        <v>29</v>
      </c>
      <c r="K5" s="3" t="s">
        <v>30</v>
      </c>
      <c r="L5" s="3" t="s">
        <v>26</v>
      </c>
      <c r="M5" s="3" t="s">
        <v>31</v>
      </c>
      <c r="N5" s="3" t="s">
        <v>20</v>
      </c>
      <c r="O5" s="4">
        <v>1213</v>
      </c>
      <c r="P5" s="5">
        <v>46088.045138888898</v>
      </c>
      <c r="Q5" s="4">
        <v>1213</v>
      </c>
      <c r="R5" s="5">
        <v>46088.056944444397</v>
      </c>
    </row>
    <row r="6" spans="1:18" x14ac:dyDescent="0.3">
      <c r="A6" s="3" t="s">
        <v>32</v>
      </c>
      <c r="B6" s="3"/>
      <c r="C6" s="3"/>
      <c r="D6" s="3">
        <v>5</v>
      </c>
      <c r="E6" s="4">
        <v>15282</v>
      </c>
      <c r="F6" s="4">
        <v>1586</v>
      </c>
      <c r="G6" s="3" t="s">
        <v>16</v>
      </c>
      <c r="H6" s="3" t="s">
        <v>32</v>
      </c>
      <c r="I6" s="3" t="s">
        <v>32</v>
      </c>
      <c r="J6" s="3" t="s">
        <v>33</v>
      </c>
      <c r="K6" s="3" t="s">
        <v>33</v>
      </c>
      <c r="L6" s="3" t="s">
        <v>26</v>
      </c>
      <c r="M6" s="3" t="s">
        <v>34</v>
      </c>
      <c r="N6" s="3" t="s">
        <v>20</v>
      </c>
      <c r="O6" s="4">
        <v>1213</v>
      </c>
      <c r="P6" s="5">
        <v>46100.331944444399</v>
      </c>
      <c r="Q6" s="4">
        <v>1213</v>
      </c>
      <c r="R6" s="5">
        <v>46101.2277777778</v>
      </c>
    </row>
    <row r="7" spans="1:18" hidden="1" x14ac:dyDescent="0.3">
      <c r="A7" s="3"/>
      <c r="B7" s="3" t="s">
        <v>465</v>
      </c>
      <c r="C7" s="3"/>
      <c r="D7" s="3">
        <v>6</v>
      </c>
      <c r="E7" s="4">
        <v>15576</v>
      </c>
      <c r="F7" s="4">
        <v>-1</v>
      </c>
      <c r="G7" s="3" t="s">
        <v>16</v>
      </c>
      <c r="H7" s="3" t="s">
        <v>35</v>
      </c>
      <c r="I7" s="3" t="s">
        <v>35</v>
      </c>
      <c r="J7" s="3" t="s">
        <v>36</v>
      </c>
      <c r="K7" s="3" t="s">
        <v>37</v>
      </c>
      <c r="L7" s="3" t="s">
        <v>26</v>
      </c>
      <c r="M7" s="3" t="s">
        <v>38</v>
      </c>
      <c r="N7" s="3" t="s">
        <v>20</v>
      </c>
      <c r="O7" s="4">
        <v>1213</v>
      </c>
      <c r="P7" s="5">
        <v>46196.508333333302</v>
      </c>
      <c r="Q7" s="4">
        <v>1213</v>
      </c>
      <c r="R7" s="5">
        <v>46196.516666666699</v>
      </c>
    </row>
    <row r="8" spans="1:18" x14ac:dyDescent="0.3">
      <c r="A8" s="3"/>
      <c r="B8" s="3"/>
      <c r="C8" s="3"/>
      <c r="D8" s="3">
        <v>7</v>
      </c>
      <c r="E8" s="4">
        <v>14912</v>
      </c>
      <c r="F8" s="4">
        <v>1529</v>
      </c>
      <c r="G8" s="3" t="s">
        <v>16</v>
      </c>
      <c r="H8" s="3" t="s">
        <v>39</v>
      </c>
      <c r="I8" s="3" t="s">
        <v>39</v>
      </c>
      <c r="J8" s="3" t="s">
        <v>40</v>
      </c>
      <c r="K8" s="3" t="s">
        <v>41</v>
      </c>
      <c r="L8" s="3" t="s">
        <v>18</v>
      </c>
      <c r="M8" s="3" t="s">
        <v>42</v>
      </c>
      <c r="N8" s="3" t="s">
        <v>20</v>
      </c>
      <c r="O8" s="4">
        <v>1213</v>
      </c>
      <c r="P8" s="5">
        <v>45943.214583333298</v>
      </c>
      <c r="Q8" s="4">
        <v>-1</v>
      </c>
      <c r="R8" s="5">
        <v>45943.214583333298</v>
      </c>
    </row>
    <row r="9" spans="1:18" x14ac:dyDescent="0.3">
      <c r="A9" s="3"/>
      <c r="B9" s="3"/>
      <c r="C9" s="3"/>
      <c r="D9" s="3">
        <v>8</v>
      </c>
      <c r="E9" s="4">
        <v>14913</v>
      </c>
      <c r="F9" s="4">
        <v>1529</v>
      </c>
      <c r="G9" s="3" t="s">
        <v>16</v>
      </c>
      <c r="H9" s="3" t="s">
        <v>43</v>
      </c>
      <c r="I9" s="3" t="s">
        <v>39</v>
      </c>
      <c r="J9" s="3" t="s">
        <v>44</v>
      </c>
      <c r="K9" s="3" t="s">
        <v>45</v>
      </c>
      <c r="L9" s="3" t="s">
        <v>26</v>
      </c>
      <c r="M9" s="3" t="s">
        <v>46</v>
      </c>
      <c r="N9" s="3" t="s">
        <v>20</v>
      </c>
      <c r="O9" s="4">
        <v>1213</v>
      </c>
      <c r="P9" s="5">
        <v>45943.214583333298</v>
      </c>
      <c r="Q9" s="4">
        <v>-1</v>
      </c>
      <c r="R9" s="5">
        <v>45943.214583333298</v>
      </c>
    </row>
    <row r="10" spans="1:18" hidden="1" x14ac:dyDescent="0.3">
      <c r="A10" s="3"/>
      <c r="B10" s="3" t="s">
        <v>465</v>
      </c>
      <c r="C10" s="3"/>
      <c r="D10" s="3">
        <v>9</v>
      </c>
      <c r="E10" s="4">
        <v>14891</v>
      </c>
      <c r="F10" s="4">
        <v>1531</v>
      </c>
      <c r="G10" s="3" t="s">
        <v>16</v>
      </c>
      <c r="H10" s="3" t="s">
        <v>47</v>
      </c>
      <c r="I10" s="3" t="s">
        <v>47</v>
      </c>
      <c r="J10" s="3" t="s">
        <v>48</v>
      </c>
      <c r="K10" s="3" t="s">
        <v>49</v>
      </c>
      <c r="L10" s="3" t="s">
        <v>18</v>
      </c>
      <c r="M10" s="3" t="s">
        <v>23</v>
      </c>
      <c r="N10" s="3" t="s">
        <v>20</v>
      </c>
      <c r="O10" s="4">
        <v>1213</v>
      </c>
      <c r="P10" s="5">
        <v>45939.558333333298</v>
      </c>
      <c r="Q10" s="4">
        <v>-1</v>
      </c>
      <c r="R10" s="5">
        <v>45939.558333333298</v>
      </c>
    </row>
    <row r="11" spans="1:18" hidden="1" x14ac:dyDescent="0.3">
      <c r="A11" s="3"/>
      <c r="B11" s="3" t="s">
        <v>465</v>
      </c>
      <c r="C11" s="3"/>
      <c r="D11" s="3">
        <v>10</v>
      </c>
      <c r="E11" s="4">
        <v>14892</v>
      </c>
      <c r="F11" s="4">
        <v>1531</v>
      </c>
      <c r="G11" s="3" t="s">
        <v>16</v>
      </c>
      <c r="H11" s="3" t="s">
        <v>50</v>
      </c>
      <c r="I11" s="3" t="s">
        <v>47</v>
      </c>
      <c r="J11" s="3" t="s">
        <v>51</v>
      </c>
      <c r="K11" s="3" t="s">
        <v>49</v>
      </c>
      <c r="L11" s="3" t="s">
        <v>26</v>
      </c>
      <c r="M11" s="3" t="s">
        <v>31</v>
      </c>
      <c r="N11" s="3" t="s">
        <v>20</v>
      </c>
      <c r="O11" s="4">
        <v>1213</v>
      </c>
      <c r="P11" s="5">
        <v>45939.558333333298</v>
      </c>
      <c r="Q11" s="4">
        <v>-1</v>
      </c>
      <c r="R11" s="5">
        <v>45939.558333333298</v>
      </c>
    </row>
    <row r="12" spans="1:18" hidden="1" x14ac:dyDescent="0.3">
      <c r="A12" s="3"/>
      <c r="B12" s="3" t="s">
        <v>465</v>
      </c>
      <c r="C12" s="3"/>
      <c r="D12" s="3">
        <v>11</v>
      </c>
      <c r="E12" s="4">
        <v>14889</v>
      </c>
      <c r="F12" s="4">
        <v>1531</v>
      </c>
      <c r="G12" s="3" t="s">
        <v>16</v>
      </c>
      <c r="H12" s="3" t="s">
        <v>52</v>
      </c>
      <c r="I12" s="3" t="s">
        <v>52</v>
      </c>
      <c r="J12" s="3" t="s">
        <v>53</v>
      </c>
      <c r="K12" s="3" t="s">
        <v>54</v>
      </c>
      <c r="L12" s="3" t="s">
        <v>18</v>
      </c>
      <c r="M12" s="3" t="s">
        <v>23</v>
      </c>
      <c r="N12" s="3" t="s">
        <v>20</v>
      </c>
      <c r="O12" s="4">
        <v>1213</v>
      </c>
      <c r="P12" s="5">
        <v>45939.557638888902</v>
      </c>
      <c r="Q12" s="4">
        <v>-1</v>
      </c>
      <c r="R12" s="5">
        <v>45939.557638888902</v>
      </c>
    </row>
    <row r="13" spans="1:18" hidden="1" x14ac:dyDescent="0.3">
      <c r="A13" s="3"/>
      <c r="B13" s="3" t="s">
        <v>465</v>
      </c>
      <c r="C13" s="3"/>
      <c r="D13" s="3">
        <v>12</v>
      </c>
      <c r="E13" s="4">
        <v>14890</v>
      </c>
      <c r="F13" s="4">
        <v>1531</v>
      </c>
      <c r="G13" s="3" t="s">
        <v>16</v>
      </c>
      <c r="H13" s="3" t="s">
        <v>55</v>
      </c>
      <c r="I13" s="3" t="s">
        <v>52</v>
      </c>
      <c r="J13" s="3" t="s">
        <v>56</v>
      </c>
      <c r="K13" s="3" t="s">
        <v>54</v>
      </c>
      <c r="L13" s="3" t="s">
        <v>26</v>
      </c>
      <c r="M13" s="3" t="s">
        <v>31</v>
      </c>
      <c r="N13" s="3" t="s">
        <v>20</v>
      </c>
      <c r="O13" s="4">
        <v>1213</v>
      </c>
      <c r="P13" s="5">
        <v>45939.558333333298</v>
      </c>
      <c r="Q13" s="4">
        <v>-1</v>
      </c>
      <c r="R13" s="5">
        <v>45939.558333333298</v>
      </c>
    </row>
    <row r="14" spans="1:18" hidden="1" x14ac:dyDescent="0.3">
      <c r="A14" s="3"/>
      <c r="B14" s="3" t="s">
        <v>465</v>
      </c>
      <c r="C14" s="3"/>
      <c r="D14" s="3">
        <v>13</v>
      </c>
      <c r="E14" s="4">
        <v>15069</v>
      </c>
      <c r="F14" s="4">
        <v>-1</v>
      </c>
      <c r="G14" s="3" t="s">
        <v>16</v>
      </c>
      <c r="H14" s="3" t="s">
        <v>57</v>
      </c>
      <c r="I14" s="3" t="s">
        <v>57</v>
      </c>
      <c r="J14" s="3" t="s">
        <v>58</v>
      </c>
      <c r="K14" s="3" t="s">
        <v>58</v>
      </c>
      <c r="L14" s="3" t="s">
        <v>26</v>
      </c>
      <c r="M14" s="3" t="s">
        <v>59</v>
      </c>
      <c r="N14" s="3" t="s">
        <v>20</v>
      </c>
      <c r="O14" s="4">
        <v>1213</v>
      </c>
      <c r="P14" s="5">
        <v>46008.380555555603</v>
      </c>
      <c r="Q14" s="4">
        <v>1213</v>
      </c>
      <c r="R14" s="5">
        <v>46015.237500000003</v>
      </c>
    </row>
    <row r="15" spans="1:18" x14ac:dyDescent="0.3">
      <c r="A15" s="3"/>
      <c r="B15" s="3"/>
      <c r="C15" s="3"/>
      <c r="D15" s="3">
        <v>14</v>
      </c>
      <c r="E15" s="4">
        <v>15197</v>
      </c>
      <c r="F15" s="4">
        <v>1529</v>
      </c>
      <c r="G15" s="3" t="s">
        <v>16</v>
      </c>
      <c r="H15" s="3" t="s">
        <v>60</v>
      </c>
      <c r="I15" s="3" t="s">
        <v>61</v>
      </c>
      <c r="J15" s="3" t="s">
        <v>62</v>
      </c>
      <c r="K15" s="3" t="s">
        <v>45</v>
      </c>
      <c r="L15" s="3" t="s">
        <v>26</v>
      </c>
      <c r="M15" s="3" t="s">
        <v>31</v>
      </c>
      <c r="N15" s="3" t="s">
        <v>20</v>
      </c>
      <c r="O15" s="4">
        <v>1213</v>
      </c>
      <c r="P15" s="5">
        <v>46066.162499999999</v>
      </c>
      <c r="Q15" s="4">
        <v>1213</v>
      </c>
      <c r="R15" s="5">
        <v>46066.184027777803</v>
      </c>
    </row>
    <row r="16" spans="1:18" x14ac:dyDescent="0.3">
      <c r="A16" s="3"/>
      <c r="B16" s="3"/>
      <c r="C16" s="3"/>
      <c r="D16" s="3">
        <v>15</v>
      </c>
      <c r="E16" s="4">
        <v>15199</v>
      </c>
      <c r="F16" s="4">
        <v>1531</v>
      </c>
      <c r="G16" s="3" t="s">
        <v>16</v>
      </c>
      <c r="H16" s="3" t="s">
        <v>61</v>
      </c>
      <c r="I16" s="3" t="s">
        <v>61</v>
      </c>
      <c r="J16" s="3" t="s">
        <v>63</v>
      </c>
      <c r="K16" s="3" t="s">
        <v>63</v>
      </c>
      <c r="L16" s="3" t="s">
        <v>18</v>
      </c>
      <c r="M16" s="3" t="s">
        <v>23</v>
      </c>
      <c r="N16" s="3" t="s">
        <v>20</v>
      </c>
      <c r="O16" s="4">
        <v>1213</v>
      </c>
      <c r="P16" s="5">
        <v>46066.186805555597</v>
      </c>
      <c r="Q16" s="4">
        <v>-1</v>
      </c>
      <c r="R16" s="5">
        <v>46066.186805555597</v>
      </c>
    </row>
    <row r="17" spans="1:18" x14ac:dyDescent="0.3">
      <c r="A17" s="3"/>
      <c r="B17" s="3"/>
      <c r="C17" s="3"/>
      <c r="D17" s="3">
        <v>16</v>
      </c>
      <c r="E17" s="4">
        <v>15198</v>
      </c>
      <c r="F17" s="4">
        <v>-1</v>
      </c>
      <c r="G17" s="3" t="s">
        <v>16</v>
      </c>
      <c r="H17" s="3" t="s">
        <v>64</v>
      </c>
      <c r="I17" s="3" t="s">
        <v>65</v>
      </c>
      <c r="J17" s="3" t="s">
        <v>66</v>
      </c>
      <c r="K17" s="3" t="s">
        <v>58</v>
      </c>
      <c r="L17" s="3" t="s">
        <v>26</v>
      </c>
      <c r="M17" s="3" t="s">
        <v>59</v>
      </c>
      <c r="N17" s="3" t="s">
        <v>20</v>
      </c>
      <c r="O17" s="4">
        <v>1213</v>
      </c>
      <c r="P17" s="5">
        <v>46066.177083333299</v>
      </c>
      <c r="Q17" s="4">
        <v>-1</v>
      </c>
      <c r="R17" s="5">
        <v>46066.177083333299</v>
      </c>
    </row>
    <row r="18" spans="1:18" hidden="1" x14ac:dyDescent="0.3">
      <c r="A18" s="3"/>
      <c r="B18" s="3" t="s">
        <v>465</v>
      </c>
      <c r="C18" s="3"/>
      <c r="D18" s="3">
        <v>17</v>
      </c>
      <c r="E18" s="4">
        <v>14905</v>
      </c>
      <c r="F18" s="4">
        <v>1531</v>
      </c>
      <c r="G18" s="3" t="s">
        <v>16</v>
      </c>
      <c r="H18" s="3" t="s">
        <v>67</v>
      </c>
      <c r="I18" s="3" t="s">
        <v>67</v>
      </c>
      <c r="J18" s="3" t="s">
        <v>68</v>
      </c>
      <c r="K18" s="3" t="s">
        <v>68</v>
      </c>
      <c r="L18" s="3" t="s">
        <v>18</v>
      </c>
      <c r="M18" s="3" t="s">
        <v>23</v>
      </c>
      <c r="N18" s="3" t="s">
        <v>20</v>
      </c>
      <c r="O18" s="4">
        <v>1213</v>
      </c>
      <c r="P18" s="5">
        <v>45941.223611111098</v>
      </c>
      <c r="Q18" s="4">
        <v>-1</v>
      </c>
      <c r="R18" s="5">
        <v>45941.223611111098</v>
      </c>
    </row>
    <row r="19" spans="1:18" hidden="1" x14ac:dyDescent="0.3">
      <c r="A19" s="3"/>
      <c r="B19" s="3" t="s">
        <v>465</v>
      </c>
      <c r="C19" s="3"/>
      <c r="D19" s="3">
        <v>18</v>
      </c>
      <c r="E19" s="4">
        <v>14906</v>
      </c>
      <c r="F19" s="4">
        <v>1531</v>
      </c>
      <c r="G19" s="3" t="s">
        <v>16</v>
      </c>
      <c r="H19" s="3" t="s">
        <v>69</v>
      </c>
      <c r="I19" s="3" t="s">
        <v>67</v>
      </c>
      <c r="J19" s="3" t="s">
        <v>70</v>
      </c>
      <c r="K19" s="3" t="s">
        <v>70</v>
      </c>
      <c r="L19" s="3" t="s">
        <v>26</v>
      </c>
      <c r="M19" s="3" t="s">
        <v>31</v>
      </c>
      <c r="N19" s="3" t="s">
        <v>20</v>
      </c>
      <c r="O19" s="4">
        <v>1213</v>
      </c>
      <c r="P19" s="5">
        <v>45941.223611111098</v>
      </c>
      <c r="Q19" s="4">
        <v>-1</v>
      </c>
      <c r="R19" s="5">
        <v>45941.223611111098</v>
      </c>
    </row>
    <row r="20" spans="1:18" x14ac:dyDescent="0.3">
      <c r="A20" s="3"/>
      <c r="B20" s="3"/>
      <c r="C20" s="3"/>
      <c r="D20" s="3">
        <v>19</v>
      </c>
      <c r="E20" s="4">
        <v>15274</v>
      </c>
      <c r="F20" s="4">
        <v>1524</v>
      </c>
      <c r="G20" s="3" t="s">
        <v>16</v>
      </c>
      <c r="H20" s="3" t="s">
        <v>71</v>
      </c>
      <c r="I20" s="3" t="s">
        <v>72</v>
      </c>
      <c r="J20" s="3" t="s">
        <v>73</v>
      </c>
      <c r="K20" s="3" t="s">
        <v>74</v>
      </c>
      <c r="L20" s="3" t="s">
        <v>26</v>
      </c>
      <c r="M20" s="3" t="s">
        <v>75</v>
      </c>
      <c r="N20" s="3" t="s">
        <v>20</v>
      </c>
      <c r="O20" s="4">
        <v>1213</v>
      </c>
      <c r="P20" s="5">
        <v>46096.101388888899</v>
      </c>
      <c r="Q20" s="4">
        <v>-1</v>
      </c>
      <c r="R20" s="5">
        <v>46096.101388888899</v>
      </c>
    </row>
    <row r="21" spans="1:18" x14ac:dyDescent="0.3">
      <c r="A21" s="3"/>
      <c r="B21" s="3"/>
      <c r="C21" s="3"/>
      <c r="D21" s="3">
        <v>20</v>
      </c>
      <c r="E21" s="4">
        <v>15275</v>
      </c>
      <c r="F21" s="4">
        <v>1592</v>
      </c>
      <c r="G21" s="3" t="s">
        <v>16</v>
      </c>
      <c r="H21" s="3" t="s">
        <v>72</v>
      </c>
      <c r="I21" s="3" t="s">
        <v>72</v>
      </c>
      <c r="J21" s="3" t="s">
        <v>76</v>
      </c>
      <c r="K21" s="3" t="s">
        <v>77</v>
      </c>
      <c r="L21" s="3" t="s">
        <v>18</v>
      </c>
      <c r="M21" s="3" t="s">
        <v>78</v>
      </c>
      <c r="N21" s="3" t="s">
        <v>20</v>
      </c>
      <c r="O21" s="4">
        <v>1213</v>
      </c>
      <c r="P21" s="5">
        <v>46096.101388888899</v>
      </c>
      <c r="Q21" s="4">
        <v>1212</v>
      </c>
      <c r="R21" s="5">
        <v>46118.1430555556</v>
      </c>
    </row>
    <row r="22" spans="1:18" x14ac:dyDescent="0.3">
      <c r="A22" s="3"/>
      <c r="B22" s="3"/>
      <c r="C22" s="3"/>
      <c r="D22" s="3">
        <v>21</v>
      </c>
      <c r="E22" s="4">
        <v>15276</v>
      </c>
      <c r="F22" s="4">
        <v>1592</v>
      </c>
      <c r="G22" s="3" t="s">
        <v>16</v>
      </c>
      <c r="H22" s="3" t="s">
        <v>79</v>
      </c>
      <c r="I22" s="3" t="s">
        <v>79</v>
      </c>
      <c r="J22" s="3" t="s">
        <v>80</v>
      </c>
      <c r="K22" s="3" t="s">
        <v>81</v>
      </c>
      <c r="L22" s="3" t="s">
        <v>18</v>
      </c>
      <c r="M22" s="3" t="s">
        <v>82</v>
      </c>
      <c r="N22" s="3" t="s">
        <v>20</v>
      </c>
      <c r="O22" s="4">
        <v>1213</v>
      </c>
      <c r="P22" s="5">
        <v>46097.100694444402</v>
      </c>
      <c r="Q22" s="4">
        <v>1213</v>
      </c>
      <c r="R22" s="5">
        <v>46098.629166666702</v>
      </c>
    </row>
    <row r="23" spans="1:18" x14ac:dyDescent="0.3">
      <c r="A23" s="3"/>
      <c r="B23" s="3"/>
      <c r="C23" s="3"/>
      <c r="D23" s="3">
        <v>22</v>
      </c>
      <c r="E23" s="4">
        <v>15277</v>
      </c>
      <c r="F23" s="4">
        <v>1524</v>
      </c>
      <c r="G23" s="3" t="s">
        <v>16</v>
      </c>
      <c r="H23" s="3" t="s">
        <v>83</v>
      </c>
      <c r="I23" s="3" t="s">
        <v>79</v>
      </c>
      <c r="J23" s="3" t="s">
        <v>84</v>
      </c>
      <c r="K23" s="3" t="s">
        <v>74</v>
      </c>
      <c r="L23" s="3" t="s">
        <v>26</v>
      </c>
      <c r="M23" s="3" t="s">
        <v>75</v>
      </c>
      <c r="N23" s="3" t="s">
        <v>20</v>
      </c>
      <c r="O23" s="4">
        <v>1213</v>
      </c>
      <c r="P23" s="5">
        <v>46097.124305555597</v>
      </c>
      <c r="Q23" s="4">
        <v>1213</v>
      </c>
      <c r="R23" s="5">
        <v>46098.629166666702</v>
      </c>
    </row>
    <row r="24" spans="1:18" x14ac:dyDescent="0.3">
      <c r="A24" s="3"/>
      <c r="B24" s="3"/>
      <c r="C24" s="3"/>
      <c r="D24" s="3">
        <v>23</v>
      </c>
      <c r="E24" s="4">
        <v>15386</v>
      </c>
      <c r="F24" s="4">
        <v>6217</v>
      </c>
      <c r="G24" s="3" t="s">
        <v>16</v>
      </c>
      <c r="H24" s="3" t="s">
        <v>85</v>
      </c>
      <c r="I24" s="3" t="s">
        <v>85</v>
      </c>
      <c r="J24" s="3" t="s">
        <v>86</v>
      </c>
      <c r="K24" s="3" t="s">
        <v>86</v>
      </c>
      <c r="L24" s="3" t="s">
        <v>18</v>
      </c>
      <c r="M24" s="3" t="s">
        <v>87</v>
      </c>
      <c r="N24" s="3" t="s">
        <v>20</v>
      </c>
      <c r="O24" s="4">
        <v>1213</v>
      </c>
      <c r="P24" s="5">
        <v>46119.636111111096</v>
      </c>
      <c r="Q24" s="4">
        <v>-1</v>
      </c>
      <c r="R24" s="5">
        <v>46119.636111111096</v>
      </c>
    </row>
    <row r="25" spans="1:18" x14ac:dyDescent="0.3">
      <c r="A25" s="3"/>
      <c r="B25" s="3"/>
      <c r="C25" s="3"/>
      <c r="D25" s="3">
        <v>24</v>
      </c>
      <c r="E25" s="4">
        <v>15366</v>
      </c>
      <c r="F25" s="4">
        <v>6217</v>
      </c>
      <c r="G25" s="3" t="s">
        <v>16</v>
      </c>
      <c r="H25" s="3" t="s">
        <v>88</v>
      </c>
      <c r="I25" s="3" t="s">
        <v>88</v>
      </c>
      <c r="J25" s="3" t="s">
        <v>89</v>
      </c>
      <c r="K25" s="3" t="s">
        <v>89</v>
      </c>
      <c r="L25" s="3" t="s">
        <v>18</v>
      </c>
      <c r="M25" s="3" t="s">
        <v>87</v>
      </c>
      <c r="N25" s="3" t="s">
        <v>20</v>
      </c>
      <c r="O25" s="4">
        <v>1213</v>
      </c>
      <c r="P25" s="5">
        <v>46118.1159722222</v>
      </c>
      <c r="Q25" s="4">
        <v>1213</v>
      </c>
      <c r="R25" s="5">
        <v>46118.1381944444</v>
      </c>
    </row>
    <row r="26" spans="1:18" x14ac:dyDescent="0.3">
      <c r="A26" s="3"/>
      <c r="B26" s="3"/>
      <c r="C26" s="3"/>
      <c r="D26" s="3">
        <v>25</v>
      </c>
      <c r="E26" s="4">
        <v>15318</v>
      </c>
      <c r="F26" s="4">
        <v>6217</v>
      </c>
      <c r="G26" s="3" t="s">
        <v>16</v>
      </c>
      <c r="H26" s="3" t="s">
        <v>90</v>
      </c>
      <c r="I26" s="3" t="s">
        <v>90</v>
      </c>
      <c r="J26" s="3" t="s">
        <v>91</v>
      </c>
      <c r="K26" s="3" t="s">
        <v>91</v>
      </c>
      <c r="L26" s="3" t="s">
        <v>18</v>
      </c>
      <c r="M26" s="3" t="s">
        <v>87</v>
      </c>
      <c r="N26" s="3" t="s">
        <v>20</v>
      </c>
      <c r="O26" s="4">
        <v>1213</v>
      </c>
      <c r="P26" s="5">
        <v>46111.695138888899</v>
      </c>
      <c r="Q26" s="4">
        <v>1213</v>
      </c>
      <c r="R26" s="5">
        <v>46133.304861111101</v>
      </c>
    </row>
    <row r="27" spans="1:18" x14ac:dyDescent="0.3">
      <c r="A27" s="3"/>
      <c r="B27" s="3"/>
      <c r="C27" s="3"/>
      <c r="D27" s="3">
        <v>26</v>
      </c>
      <c r="E27" s="4">
        <v>15388</v>
      </c>
      <c r="F27" s="4">
        <v>1531</v>
      </c>
      <c r="G27" s="3" t="s">
        <v>16</v>
      </c>
      <c r="H27" s="3" t="s">
        <v>92</v>
      </c>
      <c r="I27" s="3" t="s">
        <v>93</v>
      </c>
      <c r="J27" s="3" t="s">
        <v>94</v>
      </c>
      <c r="K27" s="3" t="s">
        <v>95</v>
      </c>
      <c r="L27" s="3" t="s">
        <v>26</v>
      </c>
      <c r="M27" s="3" t="s">
        <v>31</v>
      </c>
      <c r="N27" s="3" t="s">
        <v>20</v>
      </c>
      <c r="O27" s="4">
        <v>1213</v>
      </c>
      <c r="P27" s="5">
        <v>46120.034722222197</v>
      </c>
      <c r="Q27" s="4">
        <v>-1</v>
      </c>
      <c r="R27" s="5">
        <v>46120.034722222197</v>
      </c>
    </row>
    <row r="28" spans="1:18" hidden="1" x14ac:dyDescent="0.3">
      <c r="A28" s="3"/>
      <c r="B28" s="3" t="s">
        <v>465</v>
      </c>
      <c r="C28" s="3"/>
      <c r="D28" s="3">
        <v>27</v>
      </c>
      <c r="E28" s="4">
        <v>15478</v>
      </c>
      <c r="F28" s="4">
        <v>1531</v>
      </c>
      <c r="G28" s="3" t="s">
        <v>16</v>
      </c>
      <c r="H28" s="3" t="s">
        <v>96</v>
      </c>
      <c r="I28" s="3" t="s">
        <v>97</v>
      </c>
      <c r="J28" s="3" t="s">
        <v>98</v>
      </c>
      <c r="K28" s="3" t="s">
        <v>95</v>
      </c>
      <c r="L28" s="3" t="s">
        <v>26</v>
      </c>
      <c r="M28" s="3" t="s">
        <v>31</v>
      </c>
      <c r="N28" s="3" t="s">
        <v>20</v>
      </c>
      <c r="O28" s="4">
        <v>1213</v>
      </c>
      <c r="P28" s="5">
        <v>46153.255555555603</v>
      </c>
      <c r="Q28" s="4">
        <v>-1</v>
      </c>
      <c r="R28" s="5">
        <v>46153.255555555603</v>
      </c>
    </row>
    <row r="29" spans="1:18" x14ac:dyDescent="0.3">
      <c r="A29" s="3"/>
      <c r="B29" s="3"/>
      <c r="C29" s="3"/>
      <c r="D29" s="3">
        <v>28</v>
      </c>
      <c r="E29" s="4">
        <v>15483</v>
      </c>
      <c r="F29" s="4">
        <v>1531</v>
      </c>
      <c r="G29" s="3" t="s">
        <v>16</v>
      </c>
      <c r="H29" s="3" t="s">
        <v>99</v>
      </c>
      <c r="I29" s="3" t="s">
        <v>99</v>
      </c>
      <c r="J29" s="3" t="s">
        <v>100</v>
      </c>
      <c r="K29" s="3" t="s">
        <v>101</v>
      </c>
      <c r="L29" s="3" t="s">
        <v>18</v>
      </c>
      <c r="M29" s="3" t="s">
        <v>23</v>
      </c>
      <c r="N29" s="3" t="s">
        <v>20</v>
      </c>
      <c r="O29" s="4">
        <v>1213</v>
      </c>
      <c r="P29" s="5">
        <v>46156.109722222202</v>
      </c>
      <c r="Q29" s="4">
        <v>-1</v>
      </c>
      <c r="R29" s="5">
        <v>46156.109722222202</v>
      </c>
    </row>
    <row r="30" spans="1:18" x14ac:dyDescent="0.3">
      <c r="A30" s="3"/>
      <c r="B30" s="3"/>
      <c r="C30" s="3"/>
      <c r="D30" s="3">
        <v>29</v>
      </c>
      <c r="E30" s="4">
        <v>15484</v>
      </c>
      <c r="F30" s="4">
        <v>1531</v>
      </c>
      <c r="G30" s="3" t="s">
        <v>16</v>
      </c>
      <c r="H30" s="3" t="s">
        <v>102</v>
      </c>
      <c r="I30" s="3" t="s">
        <v>99</v>
      </c>
      <c r="J30" s="3" t="s">
        <v>103</v>
      </c>
      <c r="K30" s="3" t="s">
        <v>104</v>
      </c>
      <c r="L30" s="3" t="s">
        <v>26</v>
      </c>
      <c r="M30" s="3" t="s">
        <v>31</v>
      </c>
      <c r="N30" s="3" t="s">
        <v>20</v>
      </c>
      <c r="O30" s="4">
        <v>1213</v>
      </c>
      <c r="P30" s="5">
        <v>46156.110416666699</v>
      </c>
      <c r="Q30" s="4">
        <v>-1</v>
      </c>
      <c r="R30" s="5">
        <v>46156.110416666699</v>
      </c>
    </row>
    <row r="31" spans="1:18" x14ac:dyDescent="0.3">
      <c r="A31" s="3"/>
      <c r="B31" s="3"/>
      <c r="C31" s="3"/>
      <c r="D31" s="3">
        <v>30</v>
      </c>
      <c r="E31" s="4">
        <v>15387</v>
      </c>
      <c r="F31" s="4">
        <v>1531</v>
      </c>
      <c r="G31" s="3" t="s">
        <v>16</v>
      </c>
      <c r="H31" s="3" t="s">
        <v>105</v>
      </c>
      <c r="I31" s="3" t="s">
        <v>105</v>
      </c>
      <c r="J31" s="3" t="s">
        <v>106</v>
      </c>
      <c r="K31" s="3" t="s">
        <v>107</v>
      </c>
      <c r="L31" s="3" t="s">
        <v>18</v>
      </c>
      <c r="M31" s="3" t="s">
        <v>23</v>
      </c>
      <c r="N31" s="3" t="s">
        <v>20</v>
      </c>
      <c r="O31" s="4">
        <v>1213</v>
      </c>
      <c r="P31" s="5">
        <v>46120.034722222197</v>
      </c>
      <c r="Q31" s="4">
        <v>-1</v>
      </c>
      <c r="R31" s="5">
        <v>46120.034722222197</v>
      </c>
    </row>
    <row r="32" spans="1:18" x14ac:dyDescent="0.3">
      <c r="A32" s="3"/>
      <c r="B32" s="3"/>
      <c r="C32" s="3"/>
      <c r="D32" s="3">
        <v>31</v>
      </c>
      <c r="E32" s="4">
        <v>15461</v>
      </c>
      <c r="F32" s="4">
        <v>6217</v>
      </c>
      <c r="G32" s="3" t="s">
        <v>16</v>
      </c>
      <c r="H32" s="3" t="s">
        <v>108</v>
      </c>
      <c r="I32" s="3" t="s">
        <v>108</v>
      </c>
      <c r="J32" s="3" t="s">
        <v>109</v>
      </c>
      <c r="K32" s="3" t="s">
        <v>109</v>
      </c>
      <c r="L32" s="3" t="s">
        <v>18</v>
      </c>
      <c r="M32" s="3" t="s">
        <v>87</v>
      </c>
      <c r="N32" s="3" t="s">
        <v>20</v>
      </c>
      <c r="O32" s="4">
        <v>1213</v>
      </c>
      <c r="P32" s="5">
        <v>46135.371527777803</v>
      </c>
      <c r="Q32" s="4">
        <v>-1</v>
      </c>
      <c r="R32" s="5">
        <v>46135.371527777803</v>
      </c>
    </row>
    <row r="33" spans="1:18" hidden="1" x14ac:dyDescent="0.3">
      <c r="A33" s="3"/>
      <c r="B33" s="3" t="s">
        <v>465</v>
      </c>
      <c r="C33" s="3"/>
      <c r="D33" s="3">
        <v>32</v>
      </c>
      <c r="E33" s="4">
        <v>15077</v>
      </c>
      <c r="F33" s="4">
        <v>1531</v>
      </c>
      <c r="G33" s="3" t="s">
        <v>16</v>
      </c>
      <c r="H33" s="3" t="s">
        <v>110</v>
      </c>
      <c r="I33" s="3" t="s">
        <v>110</v>
      </c>
      <c r="J33" s="3" t="s">
        <v>111</v>
      </c>
      <c r="K33" s="3" t="s">
        <v>111</v>
      </c>
      <c r="L33" s="3" t="s">
        <v>18</v>
      </c>
      <c r="M33" s="3" t="s">
        <v>112</v>
      </c>
      <c r="N33" s="3" t="s">
        <v>20</v>
      </c>
      <c r="O33" s="4">
        <v>1213</v>
      </c>
      <c r="P33" s="5">
        <v>46014.5805555556</v>
      </c>
      <c r="Q33" s="4">
        <v>1213</v>
      </c>
      <c r="R33" s="5">
        <v>46014.606249999997</v>
      </c>
    </row>
    <row r="34" spans="1:18" x14ac:dyDescent="0.3">
      <c r="A34" s="3"/>
      <c r="B34" s="3"/>
      <c r="C34" s="3">
        <v>553</v>
      </c>
      <c r="D34" s="3">
        <v>33</v>
      </c>
      <c r="E34" s="4">
        <v>15129</v>
      </c>
      <c r="F34" s="4">
        <v>1531</v>
      </c>
      <c r="G34" s="3" t="s">
        <v>16</v>
      </c>
      <c r="H34" s="3" t="s">
        <v>113</v>
      </c>
      <c r="I34" s="3" t="s">
        <v>113</v>
      </c>
      <c r="J34" s="3" t="s">
        <v>114</v>
      </c>
      <c r="K34" s="3" t="s">
        <v>115</v>
      </c>
      <c r="L34" s="3" t="s">
        <v>18</v>
      </c>
      <c r="M34" s="3" t="s">
        <v>23</v>
      </c>
      <c r="N34" s="3" t="s">
        <v>20</v>
      </c>
      <c r="O34" s="4">
        <v>1213</v>
      </c>
      <c r="P34" s="5">
        <v>46043.338888888902</v>
      </c>
      <c r="Q34" s="4">
        <v>553</v>
      </c>
      <c r="R34" s="5">
        <v>46209.264583333301</v>
      </c>
    </row>
    <row r="35" spans="1:18" x14ac:dyDescent="0.3">
      <c r="A35" s="3"/>
      <c r="B35" s="3"/>
      <c r="C35" s="3"/>
      <c r="D35" s="3">
        <v>34</v>
      </c>
      <c r="E35" s="4">
        <v>15625</v>
      </c>
      <c r="F35" s="4">
        <v>1531</v>
      </c>
      <c r="G35" s="3" t="s">
        <v>16</v>
      </c>
      <c r="H35" s="3" t="s">
        <v>116</v>
      </c>
      <c r="I35" s="3" t="s">
        <v>116</v>
      </c>
      <c r="J35" s="3" t="s">
        <v>117</v>
      </c>
      <c r="K35" s="3" t="s">
        <v>117</v>
      </c>
      <c r="L35" s="3" t="s">
        <v>18</v>
      </c>
      <c r="M35" s="3" t="s">
        <v>23</v>
      </c>
      <c r="N35" s="3" t="s">
        <v>20</v>
      </c>
      <c r="O35" s="4">
        <v>1213</v>
      </c>
      <c r="P35" s="5">
        <v>46233.133333333302</v>
      </c>
      <c r="Q35" s="4">
        <v>-1</v>
      </c>
      <c r="R35" s="5">
        <v>46233.133333333302</v>
      </c>
    </row>
    <row r="36" spans="1:18" x14ac:dyDescent="0.3">
      <c r="A36" s="3"/>
      <c r="B36" s="3"/>
      <c r="C36" s="3"/>
      <c r="D36" s="3">
        <v>35</v>
      </c>
      <c r="E36" s="4">
        <v>15292</v>
      </c>
      <c r="F36" s="4">
        <v>1586</v>
      </c>
      <c r="G36" s="3" t="s">
        <v>16</v>
      </c>
      <c r="H36" s="3" t="s">
        <v>118</v>
      </c>
      <c r="I36" s="3" t="s">
        <v>118</v>
      </c>
      <c r="J36" s="3" t="s">
        <v>86</v>
      </c>
      <c r="K36" s="3" t="s">
        <v>86</v>
      </c>
      <c r="L36" s="3" t="s">
        <v>26</v>
      </c>
      <c r="M36" s="3" t="s">
        <v>34</v>
      </c>
      <c r="N36" s="3" t="s">
        <v>20</v>
      </c>
      <c r="O36" s="4">
        <v>1213</v>
      </c>
      <c r="P36" s="5">
        <v>46107.417361111096</v>
      </c>
      <c r="Q36" s="4">
        <v>1213</v>
      </c>
      <c r="R36" s="5">
        <v>46111.105555555601</v>
      </c>
    </row>
    <row r="37" spans="1:18" x14ac:dyDescent="0.3">
      <c r="A37" s="3"/>
      <c r="B37" s="3"/>
      <c r="C37" s="3"/>
      <c r="D37" s="3">
        <v>36</v>
      </c>
      <c r="E37" s="4">
        <v>15367</v>
      </c>
      <c r="F37" s="4">
        <v>1586</v>
      </c>
      <c r="G37" s="3" t="s">
        <v>16</v>
      </c>
      <c r="H37" s="3" t="s">
        <v>119</v>
      </c>
      <c r="I37" s="3" t="s">
        <v>119</v>
      </c>
      <c r="J37" s="3" t="s">
        <v>89</v>
      </c>
      <c r="K37" s="3" t="s">
        <v>89</v>
      </c>
      <c r="L37" s="3" t="s">
        <v>26</v>
      </c>
      <c r="M37" s="3" t="s">
        <v>34</v>
      </c>
      <c r="N37" s="3" t="s">
        <v>20</v>
      </c>
      <c r="O37" s="4">
        <v>1213</v>
      </c>
      <c r="P37" s="5">
        <v>46118.1159722222</v>
      </c>
      <c r="Q37" s="4">
        <v>1213</v>
      </c>
      <c r="R37" s="5">
        <v>46118.1381944444</v>
      </c>
    </row>
    <row r="38" spans="1:18" x14ac:dyDescent="0.3">
      <c r="A38" s="3"/>
      <c r="B38" s="3"/>
      <c r="C38" s="3"/>
      <c r="D38" s="3">
        <v>37</v>
      </c>
      <c r="E38" s="4">
        <v>15314</v>
      </c>
      <c r="F38" s="4">
        <v>1586</v>
      </c>
      <c r="G38" s="3" t="s">
        <v>16</v>
      </c>
      <c r="H38" s="3" t="s">
        <v>120</v>
      </c>
      <c r="I38" s="3" t="s">
        <v>120</v>
      </c>
      <c r="J38" s="3" t="s">
        <v>121</v>
      </c>
      <c r="K38" s="3" t="s">
        <v>121</v>
      </c>
      <c r="L38" s="3" t="s">
        <v>26</v>
      </c>
      <c r="M38" s="3" t="s">
        <v>34</v>
      </c>
      <c r="N38" s="3" t="s">
        <v>20</v>
      </c>
      <c r="O38" s="4">
        <v>1213</v>
      </c>
      <c r="P38" s="5">
        <v>46111.104861111096</v>
      </c>
      <c r="Q38" s="4">
        <v>1213</v>
      </c>
      <c r="R38" s="5">
        <v>46119.106249999997</v>
      </c>
    </row>
    <row r="39" spans="1:18" x14ac:dyDescent="0.3">
      <c r="A39" s="3"/>
      <c r="B39" s="3"/>
      <c r="C39" s="3"/>
      <c r="D39" s="3">
        <v>38</v>
      </c>
      <c r="E39" s="4">
        <v>15471</v>
      </c>
      <c r="F39" s="4">
        <v>1586</v>
      </c>
      <c r="G39" s="3" t="s">
        <v>16</v>
      </c>
      <c r="H39" s="3" t="s">
        <v>122</v>
      </c>
      <c r="I39" s="3" t="s">
        <v>122</v>
      </c>
      <c r="J39" s="3" t="s">
        <v>123</v>
      </c>
      <c r="K39" s="3" t="s">
        <v>124</v>
      </c>
      <c r="L39" s="3" t="s">
        <v>26</v>
      </c>
      <c r="M39" s="3" t="s">
        <v>34</v>
      </c>
      <c r="N39" s="3" t="s">
        <v>20</v>
      </c>
      <c r="O39" s="4">
        <v>1213</v>
      </c>
      <c r="P39" s="5">
        <v>46141.342361111099</v>
      </c>
      <c r="Q39" s="4">
        <v>-1</v>
      </c>
      <c r="R39" s="5">
        <v>46141.342361111099</v>
      </c>
    </row>
    <row r="40" spans="1:18" x14ac:dyDescent="0.3">
      <c r="A40" s="3"/>
      <c r="B40" s="3"/>
      <c r="C40" s="3"/>
      <c r="D40" s="3">
        <v>39</v>
      </c>
      <c r="E40" s="4">
        <v>15052</v>
      </c>
      <c r="F40" s="4">
        <v>1586</v>
      </c>
      <c r="G40" s="3" t="s">
        <v>16</v>
      </c>
      <c r="H40" s="3" t="s">
        <v>125</v>
      </c>
      <c r="I40" s="3" t="s">
        <v>125</v>
      </c>
      <c r="J40" s="3" t="s">
        <v>126</v>
      </c>
      <c r="K40" s="3" t="s">
        <v>127</v>
      </c>
      <c r="L40" s="3" t="s">
        <v>26</v>
      </c>
      <c r="M40" s="3" t="s">
        <v>128</v>
      </c>
      <c r="N40" s="3" t="s">
        <v>20</v>
      </c>
      <c r="O40" s="4">
        <v>1213</v>
      </c>
      <c r="P40" s="5">
        <v>45997.179166666698</v>
      </c>
      <c r="Q40" s="4">
        <v>553</v>
      </c>
      <c r="R40" s="5">
        <v>46001.543055555601</v>
      </c>
    </row>
    <row r="41" spans="1:18" x14ac:dyDescent="0.3">
      <c r="A41" s="3"/>
      <c r="B41" s="3"/>
      <c r="C41" s="3">
        <v>553</v>
      </c>
      <c r="D41" s="3">
        <v>40</v>
      </c>
      <c r="E41" s="4">
        <v>14930</v>
      </c>
      <c r="F41" s="4">
        <v>1586</v>
      </c>
      <c r="G41" s="3" t="s">
        <v>16</v>
      </c>
      <c r="H41" s="3" t="s">
        <v>129</v>
      </c>
      <c r="I41" s="3" t="s">
        <v>130</v>
      </c>
      <c r="J41" s="3" t="s">
        <v>131</v>
      </c>
      <c r="K41" s="3" t="s">
        <v>131</v>
      </c>
      <c r="L41" s="3" t="s">
        <v>26</v>
      </c>
      <c r="M41" s="3" t="s">
        <v>34</v>
      </c>
      <c r="N41" s="3" t="s">
        <v>20</v>
      </c>
      <c r="O41" s="4">
        <v>1213</v>
      </c>
      <c r="P41" s="5">
        <v>45944.336111111101</v>
      </c>
      <c r="Q41" s="4">
        <v>271</v>
      </c>
      <c r="R41" s="5">
        <v>46134.597916666702</v>
      </c>
    </row>
    <row r="42" spans="1:18" x14ac:dyDescent="0.3">
      <c r="A42" s="3"/>
      <c r="B42" s="3"/>
      <c r="C42" s="3">
        <v>553</v>
      </c>
      <c r="D42" s="3">
        <v>41</v>
      </c>
      <c r="E42" s="4">
        <v>14936</v>
      </c>
      <c r="F42" s="4">
        <v>6217</v>
      </c>
      <c r="G42" s="3" t="s">
        <v>16</v>
      </c>
      <c r="H42" s="3" t="s">
        <v>130</v>
      </c>
      <c r="I42" s="3" t="s">
        <v>130</v>
      </c>
      <c r="J42" s="3" t="s">
        <v>132</v>
      </c>
      <c r="K42" s="3" t="s">
        <v>132</v>
      </c>
      <c r="L42" s="3" t="s">
        <v>18</v>
      </c>
      <c r="M42" s="3" t="s">
        <v>87</v>
      </c>
      <c r="N42" s="3" t="s">
        <v>20</v>
      </c>
      <c r="O42" s="4">
        <v>1213</v>
      </c>
      <c r="P42" s="5">
        <v>45946.032638888901</v>
      </c>
      <c r="Q42" s="4">
        <v>1213</v>
      </c>
      <c r="R42" s="5">
        <v>45960.0847222222</v>
      </c>
    </row>
    <row r="43" spans="1:18" x14ac:dyDescent="0.3">
      <c r="A43" s="3"/>
      <c r="B43" s="3"/>
      <c r="C43" s="3">
        <v>553</v>
      </c>
      <c r="D43" s="3">
        <v>42</v>
      </c>
      <c r="E43" s="4">
        <v>14964</v>
      </c>
      <c r="F43" s="4">
        <v>6217</v>
      </c>
      <c r="G43" s="3" t="s">
        <v>16</v>
      </c>
      <c r="H43" s="3" t="s">
        <v>133</v>
      </c>
      <c r="I43" s="3" t="s">
        <v>133</v>
      </c>
      <c r="J43" s="3" t="s">
        <v>134</v>
      </c>
      <c r="K43" s="3" t="s">
        <v>134</v>
      </c>
      <c r="L43" s="3" t="s">
        <v>18</v>
      </c>
      <c r="M43" s="3" t="s">
        <v>87</v>
      </c>
      <c r="N43" s="3" t="s">
        <v>20</v>
      </c>
      <c r="O43" s="4">
        <v>1213</v>
      </c>
      <c r="P43" s="5">
        <v>45957.389583333301</v>
      </c>
      <c r="Q43" s="4">
        <v>1213</v>
      </c>
      <c r="R43" s="5">
        <v>45960.0847222222</v>
      </c>
    </row>
    <row r="44" spans="1:18" x14ac:dyDescent="0.3">
      <c r="A44" s="3"/>
      <c r="B44" s="3"/>
      <c r="C44" s="3">
        <v>553</v>
      </c>
      <c r="D44" s="3">
        <v>43</v>
      </c>
      <c r="E44" s="4">
        <v>14965</v>
      </c>
      <c r="F44" s="4">
        <v>1586</v>
      </c>
      <c r="G44" s="3" t="s">
        <v>16</v>
      </c>
      <c r="H44" s="3" t="s">
        <v>135</v>
      </c>
      <c r="I44" s="3" t="s">
        <v>133</v>
      </c>
      <c r="J44" s="3" t="s">
        <v>136</v>
      </c>
      <c r="K44" s="3" t="s">
        <v>136</v>
      </c>
      <c r="L44" s="3" t="s">
        <v>26</v>
      </c>
      <c r="M44" s="3" t="s">
        <v>34</v>
      </c>
      <c r="N44" s="3" t="s">
        <v>20</v>
      </c>
      <c r="O44" s="4">
        <v>1213</v>
      </c>
      <c r="P44" s="5">
        <v>45957.389583333301</v>
      </c>
      <c r="Q44" s="4">
        <v>271</v>
      </c>
      <c r="R44" s="5">
        <v>46134.597222222197</v>
      </c>
    </row>
    <row r="45" spans="1:18" x14ac:dyDescent="0.3">
      <c r="A45" s="3"/>
      <c r="B45" s="3"/>
      <c r="C45" s="3">
        <v>553</v>
      </c>
      <c r="D45" s="3">
        <v>44</v>
      </c>
      <c r="E45" s="4">
        <v>14950</v>
      </c>
      <c r="F45" s="4">
        <v>1531</v>
      </c>
      <c r="G45" s="3" t="s">
        <v>16</v>
      </c>
      <c r="H45" s="3" t="s">
        <v>137</v>
      </c>
      <c r="I45" s="3" t="s">
        <v>137</v>
      </c>
      <c r="J45" s="3" t="s">
        <v>138</v>
      </c>
      <c r="K45" s="3" t="s">
        <v>139</v>
      </c>
      <c r="L45" s="3" t="s">
        <v>18</v>
      </c>
      <c r="M45" s="3" t="s">
        <v>23</v>
      </c>
      <c r="N45" s="3" t="s">
        <v>20</v>
      </c>
      <c r="O45" s="4">
        <v>1213</v>
      </c>
      <c r="P45" s="5">
        <v>45951.438194444403</v>
      </c>
      <c r="Q45" s="4">
        <v>553</v>
      </c>
      <c r="R45" s="5">
        <v>46125.272916666698</v>
      </c>
    </row>
    <row r="46" spans="1:18" x14ac:dyDescent="0.3">
      <c r="A46" s="3"/>
      <c r="B46" s="3"/>
      <c r="C46" s="3">
        <v>553</v>
      </c>
      <c r="D46" s="3">
        <v>45</v>
      </c>
      <c r="E46" s="4">
        <v>14951</v>
      </c>
      <c r="F46" s="4">
        <v>1531</v>
      </c>
      <c r="G46" s="3" t="s">
        <v>16</v>
      </c>
      <c r="H46" s="3" t="s">
        <v>140</v>
      </c>
      <c r="I46" s="3" t="s">
        <v>137</v>
      </c>
      <c r="J46" s="3" t="s">
        <v>141</v>
      </c>
      <c r="K46" s="3" t="s">
        <v>142</v>
      </c>
      <c r="L46" s="3" t="s">
        <v>26</v>
      </c>
      <c r="M46" s="3" t="s">
        <v>31</v>
      </c>
      <c r="N46" s="3" t="s">
        <v>20</v>
      </c>
      <c r="O46" s="4">
        <v>1213</v>
      </c>
      <c r="P46" s="5">
        <v>45951.438194444403</v>
      </c>
      <c r="Q46" s="4">
        <v>553</v>
      </c>
      <c r="R46" s="5">
        <v>46125.272916666698</v>
      </c>
    </row>
    <row r="47" spans="1:18" x14ac:dyDescent="0.3">
      <c r="A47" s="3"/>
      <c r="B47" s="3"/>
      <c r="C47" s="3"/>
      <c r="D47" s="3">
        <v>46</v>
      </c>
      <c r="E47" s="4">
        <v>15506</v>
      </c>
      <c r="F47" s="4">
        <v>1529</v>
      </c>
      <c r="G47" s="3" t="s">
        <v>16</v>
      </c>
      <c r="H47" s="3" t="s">
        <v>143</v>
      </c>
      <c r="I47" s="3" t="s">
        <v>143</v>
      </c>
      <c r="J47" s="3" t="s">
        <v>144</v>
      </c>
      <c r="K47" s="3" t="s">
        <v>145</v>
      </c>
      <c r="L47" s="3" t="s">
        <v>18</v>
      </c>
      <c r="M47" s="3" t="s">
        <v>146</v>
      </c>
      <c r="N47" s="3" t="s">
        <v>20</v>
      </c>
      <c r="O47" s="4">
        <v>1213</v>
      </c>
      <c r="P47" s="5">
        <v>46168.119444444397</v>
      </c>
      <c r="Q47" s="4">
        <v>-1</v>
      </c>
      <c r="R47" s="5">
        <v>46168.119444444397</v>
      </c>
    </row>
    <row r="48" spans="1:18" x14ac:dyDescent="0.3">
      <c r="A48" s="3"/>
      <c r="B48" s="3"/>
      <c r="C48" s="3"/>
      <c r="D48" s="3">
        <v>47</v>
      </c>
      <c r="E48" s="4">
        <v>15252</v>
      </c>
      <c r="F48" s="4">
        <v>1592</v>
      </c>
      <c r="G48" s="3" t="s">
        <v>16</v>
      </c>
      <c r="H48" s="3" t="s">
        <v>147</v>
      </c>
      <c r="I48" s="3" t="s">
        <v>148</v>
      </c>
      <c r="J48" s="3" t="s">
        <v>149</v>
      </c>
      <c r="K48" s="3" t="s">
        <v>150</v>
      </c>
      <c r="L48" s="3" t="s">
        <v>26</v>
      </c>
      <c r="M48" s="3" t="s">
        <v>31</v>
      </c>
      <c r="N48" s="3" t="s">
        <v>20</v>
      </c>
      <c r="O48" s="4">
        <v>1213</v>
      </c>
      <c r="P48" s="5">
        <v>46093.296527777798</v>
      </c>
      <c r="Q48" s="4">
        <v>1213</v>
      </c>
      <c r="R48" s="5">
        <v>46093.347916666702</v>
      </c>
    </row>
    <row r="49" spans="1:18" x14ac:dyDescent="0.3">
      <c r="A49" s="3"/>
      <c r="B49" s="3"/>
      <c r="C49" s="3"/>
      <c r="D49" s="3">
        <v>48</v>
      </c>
      <c r="E49" s="4">
        <v>15253</v>
      </c>
      <c r="F49" s="4">
        <v>1592</v>
      </c>
      <c r="G49" s="3" t="s">
        <v>16</v>
      </c>
      <c r="H49" s="3" t="s">
        <v>148</v>
      </c>
      <c r="I49" s="3" t="s">
        <v>148</v>
      </c>
      <c r="J49" s="3" t="s">
        <v>151</v>
      </c>
      <c r="K49" s="3" t="s">
        <v>148</v>
      </c>
      <c r="L49" s="3" t="s">
        <v>18</v>
      </c>
      <c r="M49" s="3" t="s">
        <v>146</v>
      </c>
      <c r="N49" s="3" t="s">
        <v>20</v>
      </c>
      <c r="O49" s="4">
        <v>1213</v>
      </c>
      <c r="P49" s="5">
        <v>46093.296527777798</v>
      </c>
      <c r="Q49" s="4">
        <v>1213</v>
      </c>
      <c r="R49" s="5">
        <v>46093.3</v>
      </c>
    </row>
    <row r="50" spans="1:18" hidden="1" x14ac:dyDescent="0.3">
      <c r="A50" s="3"/>
      <c r="B50" s="3" t="s">
        <v>465</v>
      </c>
      <c r="C50" s="3"/>
      <c r="D50" s="3">
        <v>49</v>
      </c>
      <c r="E50" s="4">
        <v>14851</v>
      </c>
      <c r="F50" s="4">
        <v>1531</v>
      </c>
      <c r="G50" s="3" t="s">
        <v>16</v>
      </c>
      <c r="H50" s="3" t="s">
        <v>152</v>
      </c>
      <c r="I50" s="3" t="s">
        <v>152</v>
      </c>
      <c r="J50" s="3" t="s">
        <v>153</v>
      </c>
      <c r="K50" s="3" t="s">
        <v>154</v>
      </c>
      <c r="L50" s="3" t="s">
        <v>18</v>
      </c>
      <c r="M50" s="3" t="s">
        <v>23</v>
      </c>
      <c r="N50" s="3" t="s">
        <v>20</v>
      </c>
      <c r="O50" s="4">
        <v>1213</v>
      </c>
      <c r="P50" s="5">
        <v>45930.051388888904</v>
      </c>
      <c r="Q50" s="4">
        <v>-1</v>
      </c>
      <c r="R50" s="5">
        <v>45930.051388888904</v>
      </c>
    </row>
    <row r="51" spans="1:18" hidden="1" x14ac:dyDescent="0.3">
      <c r="A51" s="3"/>
      <c r="B51" s="3" t="s">
        <v>465</v>
      </c>
      <c r="C51" s="3"/>
      <c r="D51" s="3">
        <v>50</v>
      </c>
      <c r="E51" s="4">
        <v>14852</v>
      </c>
      <c r="F51" s="4">
        <v>1531</v>
      </c>
      <c r="G51" s="3" t="s">
        <v>16</v>
      </c>
      <c r="H51" s="3" t="s">
        <v>155</v>
      </c>
      <c r="I51" s="3" t="s">
        <v>152</v>
      </c>
      <c r="J51" s="3" t="s">
        <v>156</v>
      </c>
      <c r="K51" s="3" t="s">
        <v>156</v>
      </c>
      <c r="L51" s="3" t="s">
        <v>26</v>
      </c>
      <c r="M51" s="3" t="s">
        <v>31</v>
      </c>
      <c r="N51" s="3" t="s">
        <v>20</v>
      </c>
      <c r="O51" s="4">
        <v>1213</v>
      </c>
      <c r="P51" s="5">
        <v>45930.051388888904</v>
      </c>
      <c r="Q51" s="4">
        <v>-1</v>
      </c>
      <c r="R51" s="5">
        <v>45930.051388888904</v>
      </c>
    </row>
    <row r="52" spans="1:18" x14ac:dyDescent="0.3">
      <c r="A52" s="3"/>
      <c r="B52" s="3"/>
      <c r="C52" s="3"/>
      <c r="D52" s="3">
        <v>51</v>
      </c>
      <c r="E52" s="4">
        <v>14855</v>
      </c>
      <c r="F52" s="4">
        <v>1531</v>
      </c>
      <c r="G52" s="3" t="s">
        <v>16</v>
      </c>
      <c r="H52" s="3" t="s">
        <v>157</v>
      </c>
      <c r="I52" s="3" t="s">
        <v>157</v>
      </c>
      <c r="J52" s="3" t="s">
        <v>158</v>
      </c>
      <c r="K52" s="3" t="s">
        <v>158</v>
      </c>
      <c r="L52" s="3" t="s">
        <v>18</v>
      </c>
      <c r="M52" s="3" t="s">
        <v>23</v>
      </c>
      <c r="N52" s="3" t="s">
        <v>20</v>
      </c>
      <c r="O52" s="4">
        <v>1213</v>
      </c>
      <c r="P52" s="5">
        <v>45931.095833333296</v>
      </c>
      <c r="Q52" s="4">
        <v>-1</v>
      </c>
      <c r="R52" s="5">
        <v>45931.095833333296</v>
      </c>
    </row>
    <row r="53" spans="1:18" x14ac:dyDescent="0.3">
      <c r="A53" s="3"/>
      <c r="B53" s="3"/>
      <c r="C53" s="3"/>
      <c r="D53" s="3">
        <v>52</v>
      </c>
      <c r="E53" s="4">
        <v>14856</v>
      </c>
      <c r="F53" s="4">
        <v>1531</v>
      </c>
      <c r="G53" s="3" t="s">
        <v>16</v>
      </c>
      <c r="H53" s="3" t="s">
        <v>159</v>
      </c>
      <c r="I53" s="3" t="s">
        <v>157</v>
      </c>
      <c r="J53" s="3" t="s">
        <v>160</v>
      </c>
      <c r="K53" s="3" t="s">
        <v>160</v>
      </c>
      <c r="L53" s="3" t="s">
        <v>26</v>
      </c>
      <c r="M53" s="3" t="s">
        <v>31</v>
      </c>
      <c r="N53" s="3" t="s">
        <v>20</v>
      </c>
      <c r="O53" s="4">
        <v>1213</v>
      </c>
      <c r="P53" s="5">
        <v>45931.095833333296</v>
      </c>
      <c r="Q53" s="4">
        <v>-1</v>
      </c>
      <c r="R53" s="5">
        <v>45931.095833333296</v>
      </c>
    </row>
    <row r="54" spans="1:18" x14ac:dyDescent="0.3">
      <c r="A54" s="3"/>
      <c r="B54" s="3"/>
      <c r="C54" s="3"/>
      <c r="D54" s="3">
        <v>53</v>
      </c>
      <c r="E54" s="4">
        <v>14857</v>
      </c>
      <c r="F54" s="4">
        <v>1531</v>
      </c>
      <c r="G54" s="3" t="s">
        <v>16</v>
      </c>
      <c r="H54" s="3" t="s">
        <v>161</v>
      </c>
      <c r="I54" s="3" t="s">
        <v>161</v>
      </c>
      <c r="J54" s="3" t="s">
        <v>162</v>
      </c>
      <c r="K54" s="3" t="s">
        <v>162</v>
      </c>
      <c r="L54" s="3" t="s">
        <v>18</v>
      </c>
      <c r="M54" s="3" t="s">
        <v>23</v>
      </c>
      <c r="N54" s="3" t="s">
        <v>20</v>
      </c>
      <c r="O54" s="4">
        <v>1213</v>
      </c>
      <c r="P54" s="5">
        <v>45931.095833333296</v>
      </c>
      <c r="Q54" s="4">
        <v>-1</v>
      </c>
      <c r="R54" s="5">
        <v>45931.095833333296</v>
      </c>
    </row>
    <row r="55" spans="1:18" x14ac:dyDescent="0.3">
      <c r="A55" s="3"/>
      <c r="B55" s="3"/>
      <c r="C55" s="3"/>
      <c r="D55" s="3">
        <v>54</v>
      </c>
      <c r="E55" s="4">
        <v>14858</v>
      </c>
      <c r="F55" s="4">
        <v>1531</v>
      </c>
      <c r="G55" s="3" t="s">
        <v>16</v>
      </c>
      <c r="H55" s="3" t="s">
        <v>163</v>
      </c>
      <c r="I55" s="3" t="s">
        <v>161</v>
      </c>
      <c r="J55" s="3" t="s">
        <v>164</v>
      </c>
      <c r="K55" s="3" t="s">
        <v>164</v>
      </c>
      <c r="L55" s="3" t="s">
        <v>26</v>
      </c>
      <c r="M55" s="3" t="s">
        <v>31</v>
      </c>
      <c r="N55" s="3" t="s">
        <v>20</v>
      </c>
      <c r="O55" s="4">
        <v>1213</v>
      </c>
      <c r="P55" s="5">
        <v>45931.096527777801</v>
      </c>
      <c r="Q55" s="4">
        <v>-1</v>
      </c>
      <c r="R55" s="5">
        <v>45931.096527777801</v>
      </c>
    </row>
    <row r="56" spans="1:18" x14ac:dyDescent="0.3">
      <c r="A56" s="3"/>
      <c r="B56" s="3"/>
      <c r="C56" s="3"/>
      <c r="D56" s="3">
        <v>55</v>
      </c>
      <c r="E56" s="4">
        <v>15285</v>
      </c>
      <c r="F56" s="4">
        <v>1531</v>
      </c>
      <c r="G56" s="3" t="s">
        <v>16</v>
      </c>
      <c r="H56" s="3" t="s">
        <v>165</v>
      </c>
      <c r="I56" s="3" t="s">
        <v>166</v>
      </c>
      <c r="J56" s="3" t="s">
        <v>167</v>
      </c>
      <c r="K56" s="3" t="s">
        <v>168</v>
      </c>
      <c r="L56" s="3" t="s">
        <v>26</v>
      </c>
      <c r="M56" s="3" t="s">
        <v>169</v>
      </c>
      <c r="N56" s="3" t="s">
        <v>20</v>
      </c>
      <c r="O56" s="4">
        <v>1213</v>
      </c>
      <c r="P56" s="5">
        <v>46000.314583333296</v>
      </c>
      <c r="Q56" s="4">
        <v>-1</v>
      </c>
      <c r="R56" s="5">
        <v>46000.314583333296</v>
      </c>
    </row>
    <row r="57" spans="1:18" x14ac:dyDescent="0.3">
      <c r="A57" s="3"/>
      <c r="B57" s="3"/>
      <c r="C57" s="3"/>
      <c r="D57" s="3">
        <v>56</v>
      </c>
      <c r="E57" s="4">
        <v>15422</v>
      </c>
      <c r="F57" s="4">
        <v>129</v>
      </c>
      <c r="G57" s="3" t="s">
        <v>16</v>
      </c>
      <c r="H57" s="3" t="s">
        <v>170</v>
      </c>
      <c r="I57" s="3" t="s">
        <v>170</v>
      </c>
      <c r="J57" s="3" t="s">
        <v>171</v>
      </c>
      <c r="K57" s="3"/>
      <c r="L57" s="3" t="s">
        <v>18</v>
      </c>
      <c r="M57" s="3" t="s">
        <v>75</v>
      </c>
      <c r="N57" s="3" t="s">
        <v>20</v>
      </c>
      <c r="O57" s="4">
        <v>1213</v>
      </c>
      <c r="P57" s="5">
        <v>46127.135416666701</v>
      </c>
      <c r="Q57" s="4">
        <v>-1</v>
      </c>
      <c r="R57" s="5">
        <v>46127.135416666701</v>
      </c>
    </row>
    <row r="58" spans="1:18" x14ac:dyDescent="0.3">
      <c r="A58" s="3"/>
      <c r="B58" s="3"/>
      <c r="C58" s="3"/>
      <c r="D58" s="3">
        <v>57</v>
      </c>
      <c r="E58" s="4">
        <v>15423</v>
      </c>
      <c r="F58" s="4">
        <v>1614</v>
      </c>
      <c r="G58" s="3" t="s">
        <v>16</v>
      </c>
      <c r="H58" s="3" t="s">
        <v>172</v>
      </c>
      <c r="I58" s="3" t="s">
        <v>170</v>
      </c>
      <c r="J58" s="3" t="s">
        <v>173</v>
      </c>
      <c r="K58" s="3"/>
      <c r="L58" s="3" t="s">
        <v>26</v>
      </c>
      <c r="M58" s="3" t="s">
        <v>75</v>
      </c>
      <c r="N58" s="3" t="s">
        <v>20</v>
      </c>
      <c r="O58" s="4">
        <v>1213</v>
      </c>
      <c r="P58" s="5">
        <v>46127.135416666701</v>
      </c>
      <c r="Q58" s="4">
        <v>-1</v>
      </c>
      <c r="R58" s="5">
        <v>46127.135416666701</v>
      </c>
    </row>
    <row r="59" spans="1:18" hidden="1" x14ac:dyDescent="0.3">
      <c r="A59" s="3"/>
      <c r="B59" s="3" t="s">
        <v>465</v>
      </c>
      <c r="C59" s="3"/>
      <c r="D59" s="3">
        <v>58</v>
      </c>
      <c r="E59" s="4">
        <v>15368</v>
      </c>
      <c r="F59" s="4">
        <v>1531</v>
      </c>
      <c r="G59" s="3" t="s">
        <v>16</v>
      </c>
      <c r="H59" s="3" t="s">
        <v>174</v>
      </c>
      <c r="I59" s="3" t="s">
        <v>174</v>
      </c>
      <c r="J59" s="3" t="s">
        <v>175</v>
      </c>
      <c r="K59" s="3" t="s">
        <v>174</v>
      </c>
      <c r="L59" s="3" t="s">
        <v>18</v>
      </c>
      <c r="M59" s="3" t="s">
        <v>23</v>
      </c>
      <c r="N59" s="3" t="s">
        <v>20</v>
      </c>
      <c r="O59" s="4">
        <v>1213</v>
      </c>
      <c r="P59" s="5">
        <v>46118.149305555598</v>
      </c>
      <c r="Q59" s="4">
        <v>-1</v>
      </c>
      <c r="R59" s="5">
        <v>46118.149305555598</v>
      </c>
    </row>
    <row r="60" spans="1:18" hidden="1" x14ac:dyDescent="0.3">
      <c r="A60" s="3"/>
      <c r="B60" s="3" t="s">
        <v>465</v>
      </c>
      <c r="C60" s="3"/>
      <c r="D60" s="3">
        <v>59</v>
      </c>
      <c r="E60" s="4">
        <v>15369</v>
      </c>
      <c r="F60" s="4">
        <v>1531</v>
      </c>
      <c r="G60" s="3" t="s">
        <v>16</v>
      </c>
      <c r="H60" s="3" t="s">
        <v>176</v>
      </c>
      <c r="I60" s="3" t="s">
        <v>174</v>
      </c>
      <c r="J60" s="3" t="s">
        <v>177</v>
      </c>
      <c r="K60" s="3" t="s">
        <v>177</v>
      </c>
      <c r="L60" s="3" t="s">
        <v>26</v>
      </c>
      <c r="M60" s="3" t="s">
        <v>31</v>
      </c>
      <c r="N60" s="3" t="s">
        <v>20</v>
      </c>
      <c r="O60" s="4">
        <v>1213</v>
      </c>
      <c r="P60" s="5">
        <v>46118.149305555598</v>
      </c>
      <c r="Q60" s="4">
        <v>-1</v>
      </c>
      <c r="R60" s="5">
        <v>46118.149305555598</v>
      </c>
    </row>
    <row r="61" spans="1:18" hidden="1" x14ac:dyDescent="0.3">
      <c r="A61" s="3"/>
      <c r="B61" s="3" t="s">
        <v>465</v>
      </c>
      <c r="C61" s="3"/>
      <c r="D61" s="3">
        <v>60</v>
      </c>
      <c r="E61" s="4">
        <v>15425</v>
      </c>
      <c r="F61" s="4">
        <v>1527</v>
      </c>
      <c r="G61" s="3" t="s">
        <v>16</v>
      </c>
      <c r="H61" s="3" t="s">
        <v>178</v>
      </c>
      <c r="I61" s="3" t="s">
        <v>178</v>
      </c>
      <c r="J61" s="3" t="s">
        <v>179</v>
      </c>
      <c r="K61" s="3" t="s">
        <v>180</v>
      </c>
      <c r="L61" s="3" t="s">
        <v>18</v>
      </c>
      <c r="M61" s="3" t="s">
        <v>181</v>
      </c>
      <c r="N61" s="3" t="s">
        <v>20</v>
      </c>
      <c r="O61" s="4">
        <v>1213</v>
      </c>
      <c r="P61" s="5">
        <v>46128.252777777801</v>
      </c>
      <c r="Q61" s="4">
        <v>1213</v>
      </c>
      <c r="R61" s="5">
        <v>46133.488888888904</v>
      </c>
    </row>
    <row r="62" spans="1:18" x14ac:dyDescent="0.3">
      <c r="A62" s="3"/>
      <c r="B62" s="3"/>
      <c r="C62" s="3"/>
      <c r="D62" s="3">
        <v>61</v>
      </c>
      <c r="E62" s="4">
        <v>15056</v>
      </c>
      <c r="F62" s="4">
        <v>1531</v>
      </c>
      <c r="G62" s="3" t="s">
        <v>16</v>
      </c>
      <c r="H62" s="3" t="s">
        <v>182</v>
      </c>
      <c r="I62" s="3" t="s">
        <v>182</v>
      </c>
      <c r="J62" s="3" t="s">
        <v>183</v>
      </c>
      <c r="K62" s="3" t="s">
        <v>184</v>
      </c>
      <c r="L62" s="3" t="s">
        <v>18</v>
      </c>
      <c r="M62" s="3" t="s">
        <v>185</v>
      </c>
      <c r="N62" s="3" t="s">
        <v>20</v>
      </c>
      <c r="O62" s="4">
        <v>1213</v>
      </c>
      <c r="P62" s="5">
        <v>46000.314583333296</v>
      </c>
      <c r="Q62" s="4">
        <v>-1</v>
      </c>
      <c r="R62" s="5">
        <v>46000.314583333296</v>
      </c>
    </row>
    <row r="63" spans="1:18" x14ac:dyDescent="0.3">
      <c r="A63" s="3"/>
      <c r="B63" s="3"/>
      <c r="C63" s="3"/>
      <c r="D63" s="3">
        <v>62</v>
      </c>
      <c r="E63" s="4">
        <v>15057</v>
      </c>
      <c r="F63" s="4">
        <v>1531</v>
      </c>
      <c r="G63" s="3" t="s">
        <v>16</v>
      </c>
      <c r="H63" s="3" t="s">
        <v>186</v>
      </c>
      <c r="I63" s="3" t="s">
        <v>182</v>
      </c>
      <c r="J63" s="3" t="s">
        <v>187</v>
      </c>
      <c r="K63" s="3" t="s">
        <v>188</v>
      </c>
      <c r="L63" s="3" t="s">
        <v>26</v>
      </c>
      <c r="M63" s="3" t="s">
        <v>189</v>
      </c>
      <c r="N63" s="3" t="s">
        <v>20</v>
      </c>
      <c r="O63" s="4">
        <v>1213</v>
      </c>
      <c r="P63" s="5">
        <v>46000.314583333296</v>
      </c>
      <c r="Q63" s="4">
        <v>-1</v>
      </c>
      <c r="R63" s="5">
        <v>46000.314583333296</v>
      </c>
    </row>
    <row r="64" spans="1:18" x14ac:dyDescent="0.3">
      <c r="A64" s="3"/>
      <c r="B64" s="3"/>
      <c r="C64" s="3">
        <v>553</v>
      </c>
      <c r="D64" s="3">
        <v>63</v>
      </c>
      <c r="E64" s="4">
        <v>14869</v>
      </c>
      <c r="F64" s="4">
        <v>1531</v>
      </c>
      <c r="G64" s="3" t="s">
        <v>16</v>
      </c>
      <c r="H64" s="3" t="s">
        <v>190</v>
      </c>
      <c r="I64" s="3" t="s">
        <v>191</v>
      </c>
      <c r="J64" s="3" t="s">
        <v>192</v>
      </c>
      <c r="K64" s="3" t="s">
        <v>192</v>
      </c>
      <c r="L64" s="3" t="s">
        <v>26</v>
      </c>
      <c r="M64" s="3" t="s">
        <v>31</v>
      </c>
      <c r="N64" s="3" t="s">
        <v>20</v>
      </c>
      <c r="O64" s="4">
        <v>1213</v>
      </c>
      <c r="P64" s="5">
        <v>45934.532638888901</v>
      </c>
      <c r="Q64" s="4">
        <v>-1</v>
      </c>
      <c r="R64" s="5">
        <v>45934.532638888901</v>
      </c>
    </row>
    <row r="65" spans="1:18" x14ac:dyDescent="0.3">
      <c r="A65" s="3"/>
      <c r="B65" s="3"/>
      <c r="C65" s="3">
        <v>553</v>
      </c>
      <c r="D65" s="3">
        <v>64</v>
      </c>
      <c r="E65" s="4">
        <v>14886</v>
      </c>
      <c r="F65" s="4">
        <v>1531</v>
      </c>
      <c r="G65" s="3" t="s">
        <v>16</v>
      </c>
      <c r="H65" s="3" t="s">
        <v>191</v>
      </c>
      <c r="I65" s="3" t="s">
        <v>191</v>
      </c>
      <c r="J65" s="3" t="s">
        <v>193</v>
      </c>
      <c r="K65" s="3" t="s">
        <v>193</v>
      </c>
      <c r="L65" s="3" t="s">
        <v>18</v>
      </c>
      <c r="M65" s="3" t="s">
        <v>23</v>
      </c>
      <c r="N65" s="3" t="s">
        <v>20</v>
      </c>
      <c r="O65" s="4">
        <v>1213</v>
      </c>
      <c r="P65" s="5">
        <v>45934.531944444403</v>
      </c>
      <c r="Q65" s="4">
        <v>-1</v>
      </c>
      <c r="R65" s="5">
        <v>45934.531944444403</v>
      </c>
    </row>
    <row r="66" spans="1:18" x14ac:dyDescent="0.3">
      <c r="A66" s="3"/>
      <c r="B66" s="3"/>
      <c r="C66" s="3"/>
      <c r="D66" s="3">
        <v>65</v>
      </c>
      <c r="E66" s="4">
        <v>15599</v>
      </c>
      <c r="F66" s="4">
        <v>1531</v>
      </c>
      <c r="G66" s="3" t="s">
        <v>16</v>
      </c>
      <c r="H66" s="3" t="s">
        <v>194</v>
      </c>
      <c r="I66" s="3" t="s">
        <v>194</v>
      </c>
      <c r="J66" s="3" t="s">
        <v>195</v>
      </c>
      <c r="K66" s="3" t="s">
        <v>101</v>
      </c>
      <c r="L66" s="3" t="s">
        <v>18</v>
      </c>
      <c r="M66" s="3" t="s">
        <v>23</v>
      </c>
      <c r="N66" s="3" t="s">
        <v>20</v>
      </c>
      <c r="O66" s="4">
        <v>1213</v>
      </c>
      <c r="P66" s="5">
        <v>46206.3</v>
      </c>
      <c r="Q66" s="4">
        <v>-1</v>
      </c>
      <c r="R66" s="5">
        <v>46206.3</v>
      </c>
    </row>
    <row r="67" spans="1:18" x14ac:dyDescent="0.3">
      <c r="A67" s="3"/>
      <c r="B67" s="3"/>
      <c r="C67" s="3"/>
      <c r="D67" s="3">
        <v>66</v>
      </c>
      <c r="E67" s="4">
        <v>15600</v>
      </c>
      <c r="F67" s="4">
        <v>1531</v>
      </c>
      <c r="G67" s="3" t="s">
        <v>16</v>
      </c>
      <c r="H67" s="3" t="s">
        <v>196</v>
      </c>
      <c r="I67" s="3" t="s">
        <v>194</v>
      </c>
      <c r="J67" s="3" t="s">
        <v>197</v>
      </c>
      <c r="K67" s="3" t="s">
        <v>104</v>
      </c>
      <c r="L67" s="3" t="s">
        <v>26</v>
      </c>
      <c r="M67" s="3" t="s">
        <v>31</v>
      </c>
      <c r="N67" s="3" t="s">
        <v>20</v>
      </c>
      <c r="O67" s="4">
        <v>1213</v>
      </c>
      <c r="P67" s="5">
        <v>46206.3</v>
      </c>
      <c r="Q67" s="4">
        <v>-1</v>
      </c>
      <c r="R67" s="5">
        <v>46206.3</v>
      </c>
    </row>
    <row r="68" spans="1:18" x14ac:dyDescent="0.3">
      <c r="A68" s="3"/>
      <c r="B68" s="3"/>
      <c r="C68" s="3"/>
      <c r="D68" s="3">
        <v>67</v>
      </c>
      <c r="E68" s="4">
        <v>15089</v>
      </c>
      <c r="F68" s="4">
        <v>1531</v>
      </c>
      <c r="G68" s="3" t="s">
        <v>16</v>
      </c>
      <c r="H68" s="3" t="s">
        <v>198</v>
      </c>
      <c r="I68" s="3" t="s">
        <v>199</v>
      </c>
      <c r="J68" s="3" t="s">
        <v>200</v>
      </c>
      <c r="K68" s="3" t="s">
        <v>201</v>
      </c>
      <c r="L68" s="3" t="s">
        <v>26</v>
      </c>
      <c r="M68" s="3" t="s">
        <v>202</v>
      </c>
      <c r="N68" s="3" t="s">
        <v>20</v>
      </c>
      <c r="O68" s="4">
        <v>1213</v>
      </c>
      <c r="P68" s="5">
        <v>46028.072222222203</v>
      </c>
      <c r="Q68" s="4">
        <v>1213</v>
      </c>
      <c r="R68" s="5">
        <v>46205.054166666698</v>
      </c>
    </row>
    <row r="69" spans="1:18" x14ac:dyDescent="0.3">
      <c r="A69" s="3"/>
      <c r="B69" s="3"/>
      <c r="C69" s="3"/>
      <c r="D69" s="3">
        <v>68</v>
      </c>
      <c r="E69" s="4">
        <v>15552</v>
      </c>
      <c r="F69" s="4">
        <v>1531</v>
      </c>
      <c r="G69" s="3" t="s">
        <v>16</v>
      </c>
      <c r="H69" s="3" t="s">
        <v>203</v>
      </c>
      <c r="I69" s="3" t="s">
        <v>204</v>
      </c>
      <c r="J69" s="3" t="s">
        <v>205</v>
      </c>
      <c r="K69" s="3" t="s">
        <v>205</v>
      </c>
      <c r="L69" s="3" t="s">
        <v>26</v>
      </c>
      <c r="M69" s="3" t="s">
        <v>202</v>
      </c>
      <c r="N69" s="3" t="s">
        <v>20</v>
      </c>
      <c r="O69" s="4">
        <v>1213</v>
      </c>
      <c r="P69" s="5">
        <v>46186.186805555597</v>
      </c>
      <c r="Q69" s="4">
        <v>1213</v>
      </c>
      <c r="R69" s="5">
        <v>46205.054861111101</v>
      </c>
    </row>
    <row r="70" spans="1:18" x14ac:dyDescent="0.3">
      <c r="A70" s="3"/>
      <c r="B70" s="3"/>
      <c r="C70" s="3"/>
      <c r="D70" s="3">
        <v>69</v>
      </c>
      <c r="E70" s="4">
        <v>15535</v>
      </c>
      <c r="F70" s="4">
        <v>1531</v>
      </c>
      <c r="G70" s="3" t="s">
        <v>16</v>
      </c>
      <c r="H70" s="3" t="s">
        <v>206</v>
      </c>
      <c r="I70" s="3" t="s">
        <v>207</v>
      </c>
      <c r="J70" s="3" t="s">
        <v>208</v>
      </c>
      <c r="K70" s="3" t="s">
        <v>208</v>
      </c>
      <c r="L70" s="3" t="s">
        <v>26</v>
      </c>
      <c r="M70" s="3" t="s">
        <v>202</v>
      </c>
      <c r="N70" s="3" t="s">
        <v>20</v>
      </c>
      <c r="O70" s="4">
        <v>1213</v>
      </c>
      <c r="P70" s="5">
        <v>46182.054861111101</v>
      </c>
      <c r="Q70" s="4">
        <v>1213</v>
      </c>
      <c r="R70" s="5">
        <v>46192.264583333301</v>
      </c>
    </row>
    <row r="71" spans="1:18" x14ac:dyDescent="0.3">
      <c r="A71" s="3"/>
      <c r="B71" s="3"/>
      <c r="C71" s="3"/>
      <c r="D71" s="3">
        <v>70</v>
      </c>
      <c r="E71" s="4">
        <v>15255</v>
      </c>
      <c r="F71" s="4">
        <v>1531</v>
      </c>
      <c r="G71" s="3" t="s">
        <v>16</v>
      </c>
      <c r="H71" s="3" t="s">
        <v>209</v>
      </c>
      <c r="I71" s="3" t="s">
        <v>210</v>
      </c>
      <c r="J71" s="3" t="s">
        <v>211</v>
      </c>
      <c r="K71" s="3" t="s">
        <v>212</v>
      </c>
      <c r="L71" s="3" t="s">
        <v>26</v>
      </c>
      <c r="M71" s="3" t="s">
        <v>213</v>
      </c>
      <c r="N71" s="3" t="s">
        <v>20</v>
      </c>
      <c r="O71" s="4">
        <v>1213</v>
      </c>
      <c r="P71" s="5">
        <v>46094.098611111098</v>
      </c>
      <c r="Q71" s="4">
        <v>1213</v>
      </c>
      <c r="R71" s="5">
        <v>46205.267361111102</v>
      </c>
    </row>
    <row r="72" spans="1:18" x14ac:dyDescent="0.3">
      <c r="A72" s="3"/>
      <c r="B72" s="3"/>
      <c r="C72" s="3"/>
      <c r="D72" s="3">
        <v>71</v>
      </c>
      <c r="E72" s="4">
        <v>14992</v>
      </c>
      <c r="F72" s="4">
        <v>1531</v>
      </c>
      <c r="G72" s="3" t="s">
        <v>16</v>
      </c>
      <c r="H72" s="3" t="s">
        <v>214</v>
      </c>
      <c r="I72" s="3" t="s">
        <v>215</v>
      </c>
      <c r="J72" s="3" t="s">
        <v>216</v>
      </c>
      <c r="K72" s="3" t="s">
        <v>217</v>
      </c>
      <c r="L72" s="3" t="s">
        <v>26</v>
      </c>
      <c r="M72" s="3" t="s">
        <v>202</v>
      </c>
      <c r="N72" s="3" t="s">
        <v>20</v>
      </c>
      <c r="O72" s="4">
        <v>1213</v>
      </c>
      <c r="P72" s="5">
        <v>45975.2409722222</v>
      </c>
      <c r="Q72" s="4">
        <v>10000001</v>
      </c>
      <c r="R72" s="5">
        <v>45981.3215277778</v>
      </c>
    </row>
    <row r="73" spans="1:18" x14ac:dyDescent="0.3">
      <c r="A73" s="3"/>
      <c r="B73" s="3"/>
      <c r="C73" s="3"/>
      <c r="D73" s="3">
        <v>72</v>
      </c>
      <c r="E73" s="4">
        <v>15071</v>
      </c>
      <c r="F73" s="4">
        <v>1531</v>
      </c>
      <c r="G73" s="3" t="s">
        <v>16</v>
      </c>
      <c r="H73" s="3" t="s">
        <v>218</v>
      </c>
      <c r="I73" s="3" t="s">
        <v>219</v>
      </c>
      <c r="J73" s="3" t="s">
        <v>220</v>
      </c>
      <c r="K73" s="3" t="s">
        <v>220</v>
      </c>
      <c r="L73" s="3" t="s">
        <v>26</v>
      </c>
      <c r="M73" s="3" t="s">
        <v>202</v>
      </c>
      <c r="N73" s="3" t="s">
        <v>20</v>
      </c>
      <c r="O73" s="4">
        <v>1213</v>
      </c>
      <c r="P73" s="5">
        <v>46009.222222222197</v>
      </c>
      <c r="Q73" s="4">
        <v>1213</v>
      </c>
      <c r="R73" s="5">
        <v>46091.283333333296</v>
      </c>
    </row>
    <row r="74" spans="1:18" x14ac:dyDescent="0.3">
      <c r="A74" s="3"/>
      <c r="B74" s="3"/>
      <c r="C74" s="3"/>
      <c r="D74" s="3">
        <v>73</v>
      </c>
      <c r="E74" s="4">
        <v>15083</v>
      </c>
      <c r="F74" s="4">
        <v>1531</v>
      </c>
      <c r="G74" s="3" t="s">
        <v>16</v>
      </c>
      <c r="H74" s="3" t="s">
        <v>221</v>
      </c>
      <c r="I74" s="3" t="s">
        <v>222</v>
      </c>
      <c r="J74" s="3" t="s">
        <v>223</v>
      </c>
      <c r="K74" s="3" t="s">
        <v>217</v>
      </c>
      <c r="L74" s="3" t="s">
        <v>26</v>
      </c>
      <c r="M74" s="3" t="s">
        <v>202</v>
      </c>
      <c r="N74" s="3" t="s">
        <v>20</v>
      </c>
      <c r="O74" s="4">
        <v>1213</v>
      </c>
      <c r="P74" s="5">
        <v>46016.100694444402</v>
      </c>
      <c r="Q74" s="4">
        <v>-1</v>
      </c>
      <c r="R74" s="5">
        <v>46016.100694444402</v>
      </c>
    </row>
    <row r="75" spans="1:18" x14ac:dyDescent="0.3">
      <c r="A75" s="3"/>
      <c r="B75" s="3"/>
      <c r="C75" s="3"/>
      <c r="D75" s="3">
        <v>74</v>
      </c>
      <c r="E75" s="4">
        <v>14991</v>
      </c>
      <c r="F75" s="4">
        <v>1531</v>
      </c>
      <c r="G75" s="3" t="s">
        <v>16</v>
      </c>
      <c r="H75" s="3" t="s">
        <v>224</v>
      </c>
      <c r="I75" s="3" t="s">
        <v>225</v>
      </c>
      <c r="J75" s="3" t="s">
        <v>226</v>
      </c>
      <c r="K75" s="3" t="s">
        <v>226</v>
      </c>
      <c r="L75" s="3" t="s">
        <v>26</v>
      </c>
      <c r="M75" s="3" t="s">
        <v>202</v>
      </c>
      <c r="N75" s="3" t="s">
        <v>20</v>
      </c>
      <c r="O75" s="4">
        <v>1213</v>
      </c>
      <c r="P75" s="5">
        <v>45975.229166666701</v>
      </c>
      <c r="Q75" s="4">
        <v>553</v>
      </c>
      <c r="R75" s="5">
        <v>46209.262499999997</v>
      </c>
    </row>
    <row r="76" spans="1:18" x14ac:dyDescent="0.3">
      <c r="A76" s="3"/>
      <c r="B76" s="3"/>
      <c r="C76" s="3"/>
      <c r="D76" s="3">
        <v>75</v>
      </c>
      <c r="E76" s="4">
        <v>15247</v>
      </c>
      <c r="F76" s="4">
        <v>1592</v>
      </c>
      <c r="G76" s="3" t="s">
        <v>16</v>
      </c>
      <c r="H76" s="3" t="s">
        <v>227</v>
      </c>
      <c r="I76" s="3" t="s">
        <v>227</v>
      </c>
      <c r="J76" s="3" t="s">
        <v>228</v>
      </c>
      <c r="K76" s="3" t="s">
        <v>229</v>
      </c>
      <c r="L76" s="3" t="s">
        <v>18</v>
      </c>
      <c r="M76" s="3" t="s">
        <v>146</v>
      </c>
      <c r="N76" s="3" t="s">
        <v>20</v>
      </c>
      <c r="O76" s="4">
        <v>1213</v>
      </c>
      <c r="P76" s="5">
        <v>46091.085416666698</v>
      </c>
      <c r="Q76" s="4">
        <v>-1</v>
      </c>
      <c r="R76" s="5">
        <v>46091.085416666698</v>
      </c>
    </row>
    <row r="77" spans="1:18" x14ac:dyDescent="0.3">
      <c r="A77" s="3"/>
      <c r="B77" s="3"/>
      <c r="C77" s="3"/>
      <c r="D77" s="3">
        <v>76</v>
      </c>
      <c r="E77" s="4">
        <v>15248</v>
      </c>
      <c r="F77" s="4">
        <v>1592</v>
      </c>
      <c r="G77" s="3" t="s">
        <v>16</v>
      </c>
      <c r="H77" s="3" t="s">
        <v>230</v>
      </c>
      <c r="I77" s="3" t="s">
        <v>227</v>
      </c>
      <c r="J77" s="3" t="s">
        <v>231</v>
      </c>
      <c r="K77" s="3" t="s">
        <v>232</v>
      </c>
      <c r="L77" s="3" t="s">
        <v>26</v>
      </c>
      <c r="M77" s="3" t="s">
        <v>233</v>
      </c>
      <c r="N77" s="3" t="s">
        <v>20</v>
      </c>
      <c r="O77" s="4">
        <v>1213</v>
      </c>
      <c r="P77" s="5">
        <v>46091.086111111101</v>
      </c>
      <c r="Q77" s="4">
        <v>-1</v>
      </c>
      <c r="R77" s="5">
        <v>46091.086111111101</v>
      </c>
    </row>
    <row r="78" spans="1:18" x14ac:dyDescent="0.3">
      <c r="A78" s="3"/>
      <c r="B78" s="3"/>
      <c r="C78" s="3">
        <v>271</v>
      </c>
      <c r="D78" s="3">
        <v>77</v>
      </c>
      <c r="E78" s="4">
        <v>14870</v>
      </c>
      <c r="F78" s="4">
        <v>1531</v>
      </c>
      <c r="G78" s="3" t="s">
        <v>16</v>
      </c>
      <c r="H78" s="3" t="s">
        <v>234</v>
      </c>
      <c r="I78" s="3" t="s">
        <v>235</v>
      </c>
      <c r="J78" s="3" t="s">
        <v>236</v>
      </c>
      <c r="K78" s="3" t="s">
        <v>236</v>
      </c>
      <c r="L78" s="3" t="s">
        <v>26</v>
      </c>
      <c r="M78" s="3" t="s">
        <v>31</v>
      </c>
      <c r="N78" s="3" t="s">
        <v>20</v>
      </c>
      <c r="O78" s="4">
        <v>1213</v>
      </c>
      <c r="P78" s="5">
        <v>45935.103472222203</v>
      </c>
      <c r="Q78" s="4">
        <v>-1</v>
      </c>
      <c r="R78" s="5">
        <v>45935.103472222203</v>
      </c>
    </row>
    <row r="79" spans="1:18" x14ac:dyDescent="0.3">
      <c r="A79" s="3"/>
      <c r="B79" s="3"/>
      <c r="C79" s="3">
        <v>271</v>
      </c>
      <c r="D79" s="3">
        <v>78</v>
      </c>
      <c r="E79" s="4">
        <v>14872</v>
      </c>
      <c r="F79" s="4">
        <v>1531</v>
      </c>
      <c r="G79" s="3" t="s">
        <v>16</v>
      </c>
      <c r="H79" s="3" t="s">
        <v>235</v>
      </c>
      <c r="I79" s="3" t="s">
        <v>235</v>
      </c>
      <c r="J79" s="3" t="s">
        <v>237</v>
      </c>
      <c r="K79" s="3" t="s">
        <v>237</v>
      </c>
      <c r="L79" s="3" t="s">
        <v>18</v>
      </c>
      <c r="M79" s="3" t="s">
        <v>23</v>
      </c>
      <c r="N79" s="3" t="s">
        <v>20</v>
      </c>
      <c r="O79" s="4">
        <v>1213</v>
      </c>
      <c r="P79" s="5">
        <v>45935.1027777778</v>
      </c>
      <c r="Q79" s="4">
        <v>-1</v>
      </c>
      <c r="R79" s="5">
        <v>45935.1027777778</v>
      </c>
    </row>
    <row r="80" spans="1:18" x14ac:dyDescent="0.3">
      <c r="A80" s="3"/>
      <c r="B80" s="3"/>
      <c r="C80" s="3"/>
      <c r="D80" s="3">
        <v>79</v>
      </c>
      <c r="E80" s="4">
        <v>15616</v>
      </c>
      <c r="F80" s="4">
        <v>1531</v>
      </c>
      <c r="G80" s="3" t="s">
        <v>16</v>
      </c>
      <c r="H80" s="3" t="s">
        <v>238</v>
      </c>
      <c r="I80" s="3" t="s">
        <v>238</v>
      </c>
      <c r="J80" s="3" t="s">
        <v>239</v>
      </c>
      <c r="K80" s="3" t="s">
        <v>240</v>
      </c>
      <c r="L80" s="3" t="s">
        <v>18</v>
      </c>
      <c r="M80" s="3" t="s">
        <v>23</v>
      </c>
      <c r="N80" s="3" t="s">
        <v>20</v>
      </c>
      <c r="O80" s="4">
        <v>1213</v>
      </c>
      <c r="P80" s="5">
        <v>46220.422222222202</v>
      </c>
      <c r="Q80" s="4">
        <v>-1</v>
      </c>
      <c r="R80" s="5">
        <v>46220.422222222202</v>
      </c>
    </row>
    <row r="81" spans="1:18" x14ac:dyDescent="0.3">
      <c r="A81" s="3"/>
      <c r="B81" s="3"/>
      <c r="C81" s="3"/>
      <c r="D81" s="3">
        <v>80</v>
      </c>
      <c r="E81" s="4">
        <v>15050</v>
      </c>
      <c r="F81" s="4">
        <v>-1</v>
      </c>
      <c r="G81" s="3" t="s">
        <v>16</v>
      </c>
      <c r="H81" s="3" t="s">
        <v>241</v>
      </c>
      <c r="I81" s="3" t="s">
        <v>241</v>
      </c>
      <c r="J81" s="3" t="s">
        <v>242</v>
      </c>
      <c r="K81" s="3" t="s">
        <v>242</v>
      </c>
      <c r="L81" s="3" t="s">
        <v>18</v>
      </c>
      <c r="M81" s="3" t="s">
        <v>75</v>
      </c>
      <c r="N81" s="3" t="s">
        <v>20</v>
      </c>
      <c r="O81" s="4">
        <v>1213</v>
      </c>
      <c r="P81" s="5">
        <v>45997.130555555603</v>
      </c>
      <c r="Q81" s="4">
        <v>1213</v>
      </c>
      <c r="R81" s="5">
        <v>46007.623611111099</v>
      </c>
    </row>
    <row r="82" spans="1:18" x14ac:dyDescent="0.3">
      <c r="A82" s="3"/>
      <c r="B82" s="3"/>
      <c r="C82" s="3"/>
      <c r="D82" s="3">
        <v>81</v>
      </c>
      <c r="E82" s="4">
        <v>15051</v>
      </c>
      <c r="F82" s="4">
        <v>1531</v>
      </c>
      <c r="G82" s="3" t="s">
        <v>16</v>
      </c>
      <c r="H82" s="3" t="s">
        <v>243</v>
      </c>
      <c r="I82" s="3" t="s">
        <v>241</v>
      </c>
      <c r="J82" s="3" t="s">
        <v>244</v>
      </c>
      <c r="K82" s="3" t="s">
        <v>244</v>
      </c>
      <c r="L82" s="3" t="s">
        <v>26</v>
      </c>
      <c r="M82" s="3" t="s">
        <v>75</v>
      </c>
      <c r="N82" s="3" t="s">
        <v>20</v>
      </c>
      <c r="O82" s="4">
        <v>1213</v>
      </c>
      <c r="P82" s="5">
        <v>45997.130555555603</v>
      </c>
      <c r="Q82" s="4">
        <v>1213</v>
      </c>
      <c r="R82" s="5">
        <v>46007.623611111099</v>
      </c>
    </row>
    <row r="83" spans="1:18" x14ac:dyDescent="0.3">
      <c r="A83" s="3"/>
      <c r="B83" s="3"/>
      <c r="C83" s="3"/>
      <c r="D83" s="3">
        <v>82</v>
      </c>
      <c r="E83" s="4">
        <v>15063</v>
      </c>
      <c r="F83" s="4">
        <v>1531</v>
      </c>
      <c r="G83" s="3" t="s">
        <v>16</v>
      </c>
      <c r="H83" s="3" t="s">
        <v>245</v>
      </c>
      <c r="I83" s="3" t="s">
        <v>245</v>
      </c>
      <c r="J83" s="3" t="s">
        <v>246</v>
      </c>
      <c r="K83" s="3" t="s">
        <v>246</v>
      </c>
      <c r="L83" s="3" t="s">
        <v>26</v>
      </c>
      <c r="M83" s="3" t="s">
        <v>202</v>
      </c>
      <c r="N83" s="3" t="s">
        <v>20</v>
      </c>
      <c r="O83" s="4">
        <v>1213</v>
      </c>
      <c r="P83" s="5">
        <v>46002.077777777798</v>
      </c>
      <c r="Q83" s="4">
        <v>553</v>
      </c>
      <c r="R83" s="5">
        <v>46146.324999999997</v>
      </c>
    </row>
    <row r="84" spans="1:18" x14ac:dyDescent="0.3">
      <c r="A84" s="3"/>
      <c r="B84" s="3"/>
      <c r="C84" s="3"/>
      <c r="D84" s="3">
        <v>83</v>
      </c>
      <c r="E84" s="4">
        <v>15020</v>
      </c>
      <c r="F84" s="4">
        <v>1531</v>
      </c>
      <c r="G84" s="3" t="s">
        <v>16</v>
      </c>
      <c r="H84" s="3" t="s">
        <v>247</v>
      </c>
      <c r="I84" s="3" t="s">
        <v>248</v>
      </c>
      <c r="J84" s="3" t="s">
        <v>249</v>
      </c>
      <c r="K84" s="3" t="s">
        <v>250</v>
      </c>
      <c r="L84" s="3" t="s">
        <v>26</v>
      </c>
      <c r="M84" s="3" t="s">
        <v>251</v>
      </c>
      <c r="N84" s="3" t="s">
        <v>20</v>
      </c>
      <c r="O84" s="4">
        <v>1213</v>
      </c>
      <c r="P84" s="5">
        <v>45990.180555555598</v>
      </c>
      <c r="Q84" s="4">
        <v>-1</v>
      </c>
      <c r="R84" s="5">
        <v>45990.180555555598</v>
      </c>
    </row>
    <row r="85" spans="1:18" x14ac:dyDescent="0.3">
      <c r="A85" s="3"/>
      <c r="B85" s="3"/>
      <c r="C85" s="3"/>
      <c r="D85" s="3">
        <v>84</v>
      </c>
      <c r="E85" s="4">
        <v>14871</v>
      </c>
      <c r="F85" s="4">
        <v>1531</v>
      </c>
      <c r="G85" s="3" t="s">
        <v>16</v>
      </c>
      <c r="H85" s="3" t="s">
        <v>252</v>
      </c>
      <c r="I85" s="3" t="s">
        <v>253</v>
      </c>
      <c r="J85" s="3" t="s">
        <v>254</v>
      </c>
      <c r="K85" s="3" t="s">
        <v>255</v>
      </c>
      <c r="L85" s="3" t="s">
        <v>26</v>
      </c>
      <c r="M85" s="3" t="s">
        <v>31</v>
      </c>
      <c r="N85" s="3" t="s">
        <v>20</v>
      </c>
      <c r="O85" s="4">
        <v>1213</v>
      </c>
      <c r="P85" s="5">
        <v>45937.004861111098</v>
      </c>
      <c r="Q85" s="4">
        <v>-1</v>
      </c>
      <c r="R85" s="5">
        <v>45937.004861111098</v>
      </c>
    </row>
    <row r="86" spans="1:18" x14ac:dyDescent="0.3">
      <c r="A86" s="3"/>
      <c r="B86" s="3"/>
      <c r="C86" s="3"/>
      <c r="D86" s="3">
        <v>85</v>
      </c>
      <c r="E86" s="4">
        <v>14873</v>
      </c>
      <c r="F86" s="4">
        <v>1531</v>
      </c>
      <c r="G86" s="3" t="s">
        <v>16</v>
      </c>
      <c r="H86" s="3" t="s">
        <v>253</v>
      </c>
      <c r="I86" s="3" t="s">
        <v>253</v>
      </c>
      <c r="J86" s="3" t="s">
        <v>256</v>
      </c>
      <c r="K86" s="3" t="s">
        <v>257</v>
      </c>
      <c r="L86" s="3" t="s">
        <v>18</v>
      </c>
      <c r="M86" s="3" t="s">
        <v>258</v>
      </c>
      <c r="N86" s="3" t="s">
        <v>20</v>
      </c>
      <c r="O86" s="4">
        <v>1213</v>
      </c>
      <c r="P86" s="5">
        <v>45937.004166666702</v>
      </c>
      <c r="Q86" s="4">
        <v>1213</v>
      </c>
      <c r="R86" s="5">
        <v>45995.338888888902</v>
      </c>
    </row>
    <row r="87" spans="1:18" x14ac:dyDescent="0.3">
      <c r="A87" s="3"/>
      <c r="B87" s="3"/>
      <c r="C87" s="3"/>
      <c r="D87" s="3">
        <v>86</v>
      </c>
      <c r="E87" s="4">
        <v>15013</v>
      </c>
      <c r="F87" s="4">
        <v>1531</v>
      </c>
      <c r="G87" s="3" t="s">
        <v>16</v>
      </c>
      <c r="H87" s="3" t="s">
        <v>259</v>
      </c>
      <c r="I87" s="3" t="s">
        <v>259</v>
      </c>
      <c r="J87" s="3" t="s">
        <v>260</v>
      </c>
      <c r="K87" s="3" t="s">
        <v>257</v>
      </c>
      <c r="L87" s="3" t="s">
        <v>18</v>
      </c>
      <c r="M87" s="3" t="s">
        <v>23</v>
      </c>
      <c r="N87" s="3" t="s">
        <v>20</v>
      </c>
      <c r="O87" s="4">
        <v>1213</v>
      </c>
      <c r="P87" s="5">
        <v>45987.332638888904</v>
      </c>
      <c r="Q87" s="4">
        <v>-1</v>
      </c>
      <c r="R87" s="5">
        <v>45987.332638888904</v>
      </c>
    </row>
    <row r="88" spans="1:18" x14ac:dyDescent="0.3">
      <c r="A88" s="3"/>
      <c r="B88" s="3"/>
      <c r="C88" s="3"/>
      <c r="D88" s="3">
        <v>87</v>
      </c>
      <c r="E88" s="4">
        <v>15014</v>
      </c>
      <c r="F88" s="4">
        <v>1531</v>
      </c>
      <c r="G88" s="3" t="s">
        <v>16</v>
      </c>
      <c r="H88" s="3" t="s">
        <v>261</v>
      </c>
      <c r="I88" s="3" t="s">
        <v>259</v>
      </c>
      <c r="J88" s="3" t="s">
        <v>262</v>
      </c>
      <c r="K88" s="3" t="s">
        <v>255</v>
      </c>
      <c r="L88" s="3" t="s">
        <v>26</v>
      </c>
      <c r="M88" s="3" t="s">
        <v>31</v>
      </c>
      <c r="N88" s="3" t="s">
        <v>20</v>
      </c>
      <c r="O88" s="4">
        <v>1213</v>
      </c>
      <c r="P88" s="5">
        <v>45987.332638888904</v>
      </c>
      <c r="Q88" s="4">
        <v>-1</v>
      </c>
      <c r="R88" s="5">
        <v>45987.332638888904</v>
      </c>
    </row>
    <row r="89" spans="1:18" x14ac:dyDescent="0.3">
      <c r="A89" s="3"/>
      <c r="B89" s="3"/>
      <c r="C89" s="3"/>
      <c r="D89" s="3">
        <v>88</v>
      </c>
      <c r="E89" s="4">
        <v>14897</v>
      </c>
      <c r="F89" s="4">
        <v>1531</v>
      </c>
      <c r="G89" s="3" t="s">
        <v>16</v>
      </c>
      <c r="H89" s="3" t="s">
        <v>263</v>
      </c>
      <c r="I89" s="3" t="s">
        <v>263</v>
      </c>
      <c r="J89" s="3" t="s">
        <v>264</v>
      </c>
      <c r="K89" s="3" t="s">
        <v>264</v>
      </c>
      <c r="L89" s="3" t="s">
        <v>18</v>
      </c>
      <c r="M89" s="3" t="s">
        <v>75</v>
      </c>
      <c r="N89" s="3" t="s">
        <v>20</v>
      </c>
      <c r="O89" s="4">
        <v>1213</v>
      </c>
      <c r="P89" s="5">
        <v>45940.398611111101</v>
      </c>
      <c r="Q89" s="4">
        <v>1213</v>
      </c>
      <c r="R89" s="5">
        <v>45940.403472222199</v>
      </c>
    </row>
    <row r="90" spans="1:18" x14ac:dyDescent="0.3">
      <c r="A90" s="3"/>
      <c r="B90" s="3"/>
      <c r="C90" s="3"/>
      <c r="D90" s="3">
        <v>89</v>
      </c>
      <c r="E90" s="4">
        <v>14898</v>
      </c>
      <c r="F90" s="4">
        <v>1531</v>
      </c>
      <c r="G90" s="3" t="s">
        <v>16</v>
      </c>
      <c r="H90" s="3" t="s">
        <v>265</v>
      </c>
      <c r="I90" s="3" t="s">
        <v>263</v>
      </c>
      <c r="J90" s="3" t="s">
        <v>266</v>
      </c>
      <c r="K90" s="3" t="s">
        <v>266</v>
      </c>
      <c r="L90" s="3" t="s">
        <v>26</v>
      </c>
      <c r="M90" s="3" t="s">
        <v>75</v>
      </c>
      <c r="N90" s="3" t="s">
        <v>20</v>
      </c>
      <c r="O90" s="4">
        <v>1213</v>
      </c>
      <c r="P90" s="5">
        <v>45940.399305555598</v>
      </c>
      <c r="Q90" s="4">
        <v>-1</v>
      </c>
      <c r="R90" s="5">
        <v>45940.399305555598</v>
      </c>
    </row>
    <row r="91" spans="1:18" x14ac:dyDescent="0.3">
      <c r="A91" s="3"/>
      <c r="B91" s="3"/>
      <c r="C91" s="3"/>
      <c r="D91" s="3">
        <v>90</v>
      </c>
      <c r="E91" s="4">
        <v>14833</v>
      </c>
      <c r="F91" s="4">
        <v>1531</v>
      </c>
      <c r="G91" s="3" t="s">
        <v>16</v>
      </c>
      <c r="H91" s="3" t="s">
        <v>267</v>
      </c>
      <c r="I91" s="3" t="s">
        <v>267</v>
      </c>
      <c r="J91" s="3" t="s">
        <v>268</v>
      </c>
      <c r="K91" s="3" t="s">
        <v>268</v>
      </c>
      <c r="L91" s="3" t="s">
        <v>18</v>
      </c>
      <c r="M91" s="3" t="s">
        <v>75</v>
      </c>
      <c r="N91" s="3" t="s">
        <v>20</v>
      </c>
      <c r="O91" s="4">
        <v>1213</v>
      </c>
      <c r="P91" s="5">
        <v>45929.213888888902</v>
      </c>
      <c r="Q91" s="4">
        <v>553</v>
      </c>
      <c r="R91" s="5">
        <v>46210.341666666704</v>
      </c>
    </row>
    <row r="92" spans="1:18" x14ac:dyDescent="0.3">
      <c r="A92" s="3"/>
      <c r="B92" s="3"/>
      <c r="C92" s="3"/>
      <c r="D92" s="3">
        <v>91</v>
      </c>
      <c r="E92" s="4">
        <v>14834</v>
      </c>
      <c r="F92" s="4">
        <v>1531</v>
      </c>
      <c r="G92" s="3" t="s">
        <v>16</v>
      </c>
      <c r="H92" s="3" t="s">
        <v>269</v>
      </c>
      <c r="I92" s="3" t="s">
        <v>267</v>
      </c>
      <c r="J92" s="3" t="s">
        <v>270</v>
      </c>
      <c r="K92" s="3" t="s">
        <v>271</v>
      </c>
      <c r="L92" s="3" t="s">
        <v>26</v>
      </c>
      <c r="M92" s="3" t="s">
        <v>75</v>
      </c>
      <c r="N92" s="3" t="s">
        <v>20</v>
      </c>
      <c r="O92" s="4">
        <v>1213</v>
      </c>
      <c r="P92" s="5">
        <v>45929.213888888902</v>
      </c>
      <c r="Q92" s="4">
        <v>553</v>
      </c>
      <c r="R92" s="5">
        <v>46210.341666666704</v>
      </c>
    </row>
    <row r="93" spans="1:18" x14ac:dyDescent="0.3">
      <c r="A93" s="3"/>
      <c r="B93" s="3"/>
      <c r="C93" s="3"/>
      <c r="D93" s="3">
        <v>92</v>
      </c>
      <c r="E93" s="4">
        <v>14847</v>
      </c>
      <c r="F93" s="4">
        <v>1531</v>
      </c>
      <c r="G93" s="3" t="s">
        <v>16</v>
      </c>
      <c r="H93" s="3" t="s">
        <v>272</v>
      </c>
      <c r="I93" s="3" t="s">
        <v>272</v>
      </c>
      <c r="J93" s="3" t="s">
        <v>273</v>
      </c>
      <c r="K93" s="3" t="s">
        <v>273</v>
      </c>
      <c r="L93" s="3" t="s">
        <v>18</v>
      </c>
      <c r="M93" s="3" t="s">
        <v>23</v>
      </c>
      <c r="N93" s="3" t="s">
        <v>20</v>
      </c>
      <c r="O93" s="4">
        <v>1213</v>
      </c>
      <c r="P93" s="5">
        <v>45929.3972222222</v>
      </c>
      <c r="Q93" s="4">
        <v>553</v>
      </c>
      <c r="R93" s="5">
        <v>46210.341666666704</v>
      </c>
    </row>
    <row r="94" spans="1:18" x14ac:dyDescent="0.3">
      <c r="A94" s="3"/>
      <c r="B94" s="3"/>
      <c r="C94" s="3"/>
      <c r="D94" s="3">
        <v>93</v>
      </c>
      <c r="E94" s="4">
        <v>14848</v>
      </c>
      <c r="F94" s="4">
        <v>1531</v>
      </c>
      <c r="G94" s="3" t="s">
        <v>16</v>
      </c>
      <c r="H94" s="3" t="s">
        <v>274</v>
      </c>
      <c r="I94" s="3" t="s">
        <v>272</v>
      </c>
      <c r="J94" s="3" t="s">
        <v>275</v>
      </c>
      <c r="K94" s="3" t="s">
        <v>276</v>
      </c>
      <c r="L94" s="3" t="s">
        <v>26</v>
      </c>
      <c r="M94" s="3" t="s">
        <v>31</v>
      </c>
      <c r="N94" s="3" t="s">
        <v>20</v>
      </c>
      <c r="O94" s="4">
        <v>1213</v>
      </c>
      <c r="P94" s="5">
        <v>45929.3972222222</v>
      </c>
      <c r="Q94" s="4">
        <v>553</v>
      </c>
      <c r="R94" s="5">
        <v>46210.340972222199</v>
      </c>
    </row>
    <row r="95" spans="1:18" x14ac:dyDescent="0.3">
      <c r="A95" s="3"/>
      <c r="B95" s="3"/>
      <c r="C95" s="3"/>
      <c r="D95" s="3">
        <v>94</v>
      </c>
      <c r="E95" s="4">
        <v>14862</v>
      </c>
      <c r="F95" s="4">
        <v>1531</v>
      </c>
      <c r="G95" s="3" t="s">
        <v>16</v>
      </c>
      <c r="H95" s="3" t="s">
        <v>277</v>
      </c>
      <c r="I95" s="3" t="s">
        <v>277</v>
      </c>
      <c r="J95" s="3" t="s">
        <v>278</v>
      </c>
      <c r="K95" s="3" t="s">
        <v>278</v>
      </c>
      <c r="L95" s="3" t="s">
        <v>18</v>
      </c>
      <c r="M95" s="3" t="s">
        <v>23</v>
      </c>
      <c r="N95" s="3" t="s">
        <v>20</v>
      </c>
      <c r="O95" s="4">
        <v>1213</v>
      </c>
      <c r="P95" s="5">
        <v>45931.4868055556</v>
      </c>
      <c r="Q95" s="4">
        <v>1213</v>
      </c>
      <c r="R95" s="5">
        <v>45996.356249999997</v>
      </c>
    </row>
    <row r="96" spans="1:18" x14ac:dyDescent="0.3">
      <c r="A96" s="3"/>
      <c r="B96" s="3"/>
      <c r="C96" s="3"/>
      <c r="D96" s="3">
        <v>95</v>
      </c>
      <c r="E96" s="4">
        <v>14863</v>
      </c>
      <c r="F96" s="4">
        <v>1531</v>
      </c>
      <c r="G96" s="3" t="s">
        <v>16</v>
      </c>
      <c r="H96" s="3" t="s">
        <v>279</v>
      </c>
      <c r="I96" s="3" t="s">
        <v>277</v>
      </c>
      <c r="J96" s="3" t="s">
        <v>280</v>
      </c>
      <c r="K96" s="3" t="s">
        <v>280</v>
      </c>
      <c r="L96" s="3" t="s">
        <v>26</v>
      </c>
      <c r="M96" s="3" t="s">
        <v>31</v>
      </c>
      <c r="N96" s="3" t="s">
        <v>20</v>
      </c>
      <c r="O96" s="4">
        <v>1213</v>
      </c>
      <c r="P96" s="5">
        <v>45931.487500000003</v>
      </c>
      <c r="Q96" s="4">
        <v>1213</v>
      </c>
      <c r="R96" s="5">
        <v>45996.356249999997</v>
      </c>
    </row>
    <row r="97" spans="1:18" x14ac:dyDescent="0.3">
      <c r="A97" s="3"/>
      <c r="B97" s="3"/>
      <c r="C97" s="3"/>
      <c r="D97" s="3">
        <v>96</v>
      </c>
      <c r="E97" s="4">
        <v>15602</v>
      </c>
      <c r="F97" s="4">
        <v>1531</v>
      </c>
      <c r="G97" s="3" t="s">
        <v>16</v>
      </c>
      <c r="H97" s="3" t="s">
        <v>281</v>
      </c>
      <c r="I97" s="3" t="s">
        <v>281</v>
      </c>
      <c r="J97" s="3" t="s">
        <v>282</v>
      </c>
      <c r="K97" s="3" t="s">
        <v>101</v>
      </c>
      <c r="L97" s="3" t="s">
        <v>18</v>
      </c>
      <c r="M97" s="3" t="s">
        <v>23</v>
      </c>
      <c r="N97" s="3" t="s">
        <v>20</v>
      </c>
      <c r="O97" s="4">
        <v>1213</v>
      </c>
      <c r="P97" s="5">
        <v>46207.282638888901</v>
      </c>
      <c r="Q97" s="4">
        <v>-1</v>
      </c>
      <c r="R97" s="5">
        <v>46207.282638888901</v>
      </c>
    </row>
    <row r="98" spans="1:18" x14ac:dyDescent="0.3">
      <c r="A98" s="3"/>
      <c r="B98" s="3"/>
      <c r="C98" s="3"/>
      <c r="D98" s="3">
        <v>97</v>
      </c>
      <c r="E98" s="4">
        <v>15603</v>
      </c>
      <c r="F98" s="4">
        <v>1531</v>
      </c>
      <c r="G98" s="3" t="s">
        <v>16</v>
      </c>
      <c r="H98" s="3" t="s">
        <v>283</v>
      </c>
      <c r="I98" s="3" t="s">
        <v>281</v>
      </c>
      <c r="J98" s="3" t="s">
        <v>284</v>
      </c>
      <c r="K98" s="3" t="s">
        <v>104</v>
      </c>
      <c r="L98" s="3" t="s">
        <v>26</v>
      </c>
      <c r="M98" s="3" t="s">
        <v>31</v>
      </c>
      <c r="N98" s="3" t="s">
        <v>20</v>
      </c>
      <c r="O98" s="4">
        <v>1213</v>
      </c>
      <c r="P98" s="5">
        <v>46207.283333333296</v>
      </c>
      <c r="Q98" s="4">
        <v>-1</v>
      </c>
      <c r="R98" s="5">
        <v>46207.283333333296</v>
      </c>
    </row>
    <row r="99" spans="1:18" x14ac:dyDescent="0.3">
      <c r="A99" s="3"/>
      <c r="B99" s="3"/>
      <c r="C99" s="3"/>
      <c r="D99" s="3">
        <v>98</v>
      </c>
      <c r="E99" s="4">
        <v>14916</v>
      </c>
      <c r="F99" s="4">
        <v>1529</v>
      </c>
      <c r="G99" s="3" t="s">
        <v>16</v>
      </c>
      <c r="H99" s="3" t="s">
        <v>285</v>
      </c>
      <c r="I99" s="3" t="s">
        <v>285</v>
      </c>
      <c r="J99" s="3" t="s">
        <v>286</v>
      </c>
      <c r="K99" s="3" t="s">
        <v>287</v>
      </c>
      <c r="L99" s="3" t="s">
        <v>18</v>
      </c>
      <c r="M99" s="3" t="s">
        <v>288</v>
      </c>
      <c r="N99" s="3" t="s">
        <v>20</v>
      </c>
      <c r="O99" s="4">
        <v>1213</v>
      </c>
      <c r="P99" s="5">
        <v>45943.475694444402</v>
      </c>
      <c r="Q99" s="4">
        <v>1213</v>
      </c>
      <c r="R99" s="5">
        <v>45943.478472222203</v>
      </c>
    </row>
    <row r="100" spans="1:18" x14ac:dyDescent="0.3">
      <c r="A100" s="3"/>
      <c r="B100" s="3"/>
      <c r="C100" s="3"/>
      <c r="D100" s="3">
        <v>99</v>
      </c>
      <c r="E100" s="4">
        <v>14918</v>
      </c>
      <c r="F100" s="4">
        <v>1529</v>
      </c>
      <c r="G100" s="3" t="s">
        <v>16</v>
      </c>
      <c r="H100" s="3" t="s">
        <v>289</v>
      </c>
      <c r="I100" s="3" t="s">
        <v>285</v>
      </c>
      <c r="J100" s="3" t="s">
        <v>290</v>
      </c>
      <c r="K100" s="3" t="s">
        <v>291</v>
      </c>
      <c r="L100" s="3" t="s">
        <v>26</v>
      </c>
      <c r="M100" s="3" t="s">
        <v>292</v>
      </c>
      <c r="N100" s="3" t="s">
        <v>20</v>
      </c>
      <c r="O100" s="4">
        <v>1213</v>
      </c>
      <c r="P100" s="5">
        <v>45943.477083333302</v>
      </c>
      <c r="Q100" s="4">
        <v>1213</v>
      </c>
      <c r="R100" s="5">
        <v>45943.479166666701</v>
      </c>
    </row>
    <row r="101" spans="1:18" x14ac:dyDescent="0.3">
      <c r="A101" s="3"/>
      <c r="B101" s="3"/>
      <c r="C101" s="3"/>
      <c r="D101" s="3">
        <v>100</v>
      </c>
      <c r="E101" s="4">
        <v>15507</v>
      </c>
      <c r="F101" s="4">
        <v>1529</v>
      </c>
      <c r="G101" s="3" t="s">
        <v>16</v>
      </c>
      <c r="H101" s="3" t="s">
        <v>293</v>
      </c>
      <c r="I101" s="3" t="s">
        <v>293</v>
      </c>
      <c r="J101" s="3" t="s">
        <v>294</v>
      </c>
      <c r="K101" s="3" t="s">
        <v>295</v>
      </c>
      <c r="L101" s="3" t="s">
        <v>18</v>
      </c>
      <c r="M101" s="3" t="s">
        <v>146</v>
      </c>
      <c r="N101" s="3" t="s">
        <v>20</v>
      </c>
      <c r="O101" s="4">
        <v>1213</v>
      </c>
      <c r="P101" s="5">
        <v>46168.127777777801</v>
      </c>
      <c r="Q101" s="4">
        <v>-1</v>
      </c>
      <c r="R101" s="5">
        <v>46168.127777777801</v>
      </c>
    </row>
    <row r="102" spans="1:18" x14ac:dyDescent="0.3">
      <c r="A102" s="3"/>
      <c r="B102" s="3"/>
      <c r="C102" s="3"/>
      <c r="D102" s="3">
        <v>101</v>
      </c>
      <c r="E102" s="4">
        <v>15623</v>
      </c>
      <c r="F102" s="4">
        <v>-1</v>
      </c>
      <c r="G102" s="3" t="s">
        <v>16</v>
      </c>
      <c r="H102" s="3" t="s">
        <v>296</v>
      </c>
      <c r="I102" s="3" t="s">
        <v>297</v>
      </c>
      <c r="J102" s="3" t="s">
        <v>298</v>
      </c>
      <c r="K102" s="3" t="s">
        <v>299</v>
      </c>
      <c r="L102" s="3" t="s">
        <v>26</v>
      </c>
      <c r="M102" s="3" t="s">
        <v>300</v>
      </c>
      <c r="N102" s="3" t="s">
        <v>20</v>
      </c>
      <c r="O102" s="4">
        <v>1213</v>
      </c>
      <c r="P102" s="5">
        <v>46008.380555555603</v>
      </c>
      <c r="Q102" s="4">
        <v>1213</v>
      </c>
      <c r="R102" s="5">
        <v>46015.237500000003</v>
      </c>
    </row>
    <row r="103" spans="1:18" x14ac:dyDescent="0.3">
      <c r="A103" s="3"/>
      <c r="B103" s="3"/>
      <c r="C103" s="3"/>
      <c r="D103" s="3">
        <v>102</v>
      </c>
      <c r="E103" s="4">
        <v>14875</v>
      </c>
      <c r="F103" s="4">
        <v>1531</v>
      </c>
      <c r="G103" s="3" t="s">
        <v>16</v>
      </c>
      <c r="H103" s="3" t="s">
        <v>301</v>
      </c>
      <c r="I103" s="3" t="s">
        <v>301</v>
      </c>
      <c r="J103" s="3" t="s">
        <v>302</v>
      </c>
      <c r="K103" s="3" t="s">
        <v>302</v>
      </c>
      <c r="L103" s="3" t="s">
        <v>18</v>
      </c>
      <c r="M103" s="3" t="s">
        <v>23</v>
      </c>
      <c r="N103" s="3" t="s">
        <v>20</v>
      </c>
      <c r="O103" s="4">
        <v>1213</v>
      </c>
      <c r="P103" s="5">
        <v>45937.002777777801</v>
      </c>
      <c r="Q103" s="4">
        <v>-1</v>
      </c>
      <c r="R103" s="5">
        <v>45937.002777777801</v>
      </c>
    </row>
    <row r="104" spans="1:18" x14ac:dyDescent="0.3">
      <c r="A104" s="3"/>
      <c r="B104" s="3"/>
      <c r="C104" s="3"/>
      <c r="D104" s="3">
        <v>103</v>
      </c>
      <c r="E104" s="4">
        <v>14880</v>
      </c>
      <c r="F104" s="4">
        <v>1531</v>
      </c>
      <c r="G104" s="3" t="s">
        <v>16</v>
      </c>
      <c r="H104" s="3" t="s">
        <v>303</v>
      </c>
      <c r="I104" s="3" t="s">
        <v>303</v>
      </c>
      <c r="J104" s="3" t="s">
        <v>304</v>
      </c>
      <c r="K104" s="3" t="s">
        <v>304</v>
      </c>
      <c r="L104" s="3" t="s">
        <v>18</v>
      </c>
      <c r="M104" s="3" t="s">
        <v>23</v>
      </c>
      <c r="N104" s="3" t="s">
        <v>20</v>
      </c>
      <c r="O104" s="4">
        <v>1213</v>
      </c>
      <c r="P104" s="5">
        <v>45936.190972222197</v>
      </c>
      <c r="Q104" s="4">
        <v>1213</v>
      </c>
      <c r="R104" s="5">
        <v>45969.563888888901</v>
      </c>
    </row>
    <row r="105" spans="1:18" x14ac:dyDescent="0.3">
      <c r="A105" s="3"/>
      <c r="B105" s="3"/>
      <c r="C105" s="3"/>
      <c r="D105" s="3">
        <v>104</v>
      </c>
      <c r="E105" s="4">
        <v>14938</v>
      </c>
      <c r="F105" s="4">
        <v>1531</v>
      </c>
      <c r="G105" s="3" t="s">
        <v>16</v>
      </c>
      <c r="H105" s="3" t="s">
        <v>305</v>
      </c>
      <c r="I105" s="3" t="s">
        <v>305</v>
      </c>
      <c r="J105" s="3" t="s">
        <v>306</v>
      </c>
      <c r="K105" s="3" t="s">
        <v>306</v>
      </c>
      <c r="L105" s="3" t="s">
        <v>18</v>
      </c>
      <c r="M105" s="3" t="s">
        <v>23</v>
      </c>
      <c r="N105" s="3" t="s">
        <v>20</v>
      </c>
      <c r="O105" s="4">
        <v>1213</v>
      </c>
      <c r="P105" s="5">
        <v>45946.5444444444</v>
      </c>
      <c r="Q105" s="4">
        <v>-1</v>
      </c>
      <c r="R105" s="5">
        <v>45946.5444444444</v>
      </c>
    </row>
    <row r="106" spans="1:18" x14ac:dyDescent="0.3">
      <c r="A106" s="3"/>
      <c r="B106" s="3"/>
      <c r="C106" s="3"/>
      <c r="D106" s="3">
        <v>105</v>
      </c>
      <c r="E106" s="4">
        <v>14928</v>
      </c>
      <c r="F106" s="4">
        <v>1531</v>
      </c>
      <c r="G106" s="3" t="s">
        <v>16</v>
      </c>
      <c r="H106" s="3" t="s">
        <v>307</v>
      </c>
      <c r="I106" s="3" t="s">
        <v>307</v>
      </c>
      <c r="J106" s="3" t="s">
        <v>308</v>
      </c>
      <c r="K106" s="3" t="s">
        <v>308</v>
      </c>
      <c r="L106" s="3" t="s">
        <v>18</v>
      </c>
      <c r="M106" s="3" t="s">
        <v>23</v>
      </c>
      <c r="N106" s="3" t="s">
        <v>20</v>
      </c>
      <c r="O106" s="4">
        <v>1213</v>
      </c>
      <c r="P106" s="5">
        <v>45944.164583333302</v>
      </c>
      <c r="Q106" s="4">
        <v>1213</v>
      </c>
      <c r="R106" s="5">
        <v>45969.563888888901</v>
      </c>
    </row>
    <row r="107" spans="1:18" x14ac:dyDescent="0.3">
      <c r="A107" s="3"/>
      <c r="B107" s="3"/>
      <c r="C107" s="3"/>
      <c r="D107" s="3">
        <v>106</v>
      </c>
      <c r="E107" s="4">
        <v>14881</v>
      </c>
      <c r="F107" s="4">
        <v>1531</v>
      </c>
      <c r="G107" s="3" t="s">
        <v>16</v>
      </c>
      <c r="H107" s="3" t="s">
        <v>309</v>
      </c>
      <c r="I107" s="3" t="s">
        <v>309</v>
      </c>
      <c r="J107" s="3" t="s">
        <v>310</v>
      </c>
      <c r="K107" s="3" t="s">
        <v>310</v>
      </c>
      <c r="L107" s="3" t="s">
        <v>18</v>
      </c>
      <c r="M107" s="3" t="s">
        <v>23</v>
      </c>
      <c r="N107" s="3" t="s">
        <v>20</v>
      </c>
      <c r="O107" s="4">
        <v>1213</v>
      </c>
      <c r="P107" s="5">
        <v>45936.190277777801</v>
      </c>
      <c r="Q107" s="4">
        <v>1213</v>
      </c>
      <c r="R107" s="5">
        <v>45969.563194444403</v>
      </c>
    </row>
    <row r="108" spans="1:18" x14ac:dyDescent="0.3">
      <c r="A108" s="3"/>
      <c r="B108" s="3"/>
      <c r="C108" s="3"/>
      <c r="D108" s="3">
        <v>107</v>
      </c>
      <c r="E108" s="4">
        <v>14882</v>
      </c>
      <c r="F108" s="4">
        <v>1531</v>
      </c>
      <c r="G108" s="3" t="s">
        <v>16</v>
      </c>
      <c r="H108" s="3" t="s">
        <v>311</v>
      </c>
      <c r="I108" s="3" t="s">
        <v>311</v>
      </c>
      <c r="J108" s="3" t="s">
        <v>312</v>
      </c>
      <c r="K108" s="3" t="s">
        <v>312</v>
      </c>
      <c r="L108" s="3" t="s">
        <v>18</v>
      </c>
      <c r="M108" s="3" t="s">
        <v>23</v>
      </c>
      <c r="N108" s="3" t="s">
        <v>20</v>
      </c>
      <c r="O108" s="4">
        <v>1213</v>
      </c>
      <c r="P108" s="5">
        <v>45936.190972222197</v>
      </c>
      <c r="Q108" s="4">
        <v>1213</v>
      </c>
      <c r="R108" s="5">
        <v>45969.563888888901</v>
      </c>
    </row>
    <row r="109" spans="1:18" x14ac:dyDescent="0.3">
      <c r="A109" s="3"/>
      <c r="B109" s="3"/>
      <c r="C109" s="3"/>
      <c r="D109" s="3">
        <v>108</v>
      </c>
      <c r="E109" s="4">
        <v>14939</v>
      </c>
      <c r="F109" s="4">
        <v>1531</v>
      </c>
      <c r="G109" s="3" t="s">
        <v>16</v>
      </c>
      <c r="H109" s="3" t="s">
        <v>313</v>
      </c>
      <c r="I109" s="3" t="s">
        <v>313</v>
      </c>
      <c r="J109" s="3" t="s">
        <v>314</v>
      </c>
      <c r="K109" s="3" t="s">
        <v>314</v>
      </c>
      <c r="L109" s="3" t="s">
        <v>18</v>
      </c>
      <c r="M109" s="3" t="s">
        <v>23</v>
      </c>
      <c r="N109" s="3" t="s">
        <v>20</v>
      </c>
      <c r="O109" s="4">
        <v>1213</v>
      </c>
      <c r="P109" s="5">
        <v>45946.5444444444</v>
      </c>
      <c r="Q109" s="4">
        <v>-1</v>
      </c>
      <c r="R109" s="5">
        <v>45946.5444444444</v>
      </c>
    </row>
    <row r="110" spans="1:18" x14ac:dyDescent="0.3">
      <c r="A110" s="3"/>
      <c r="B110" s="3"/>
      <c r="C110" s="3"/>
      <c r="D110" s="3">
        <v>109</v>
      </c>
      <c r="E110" s="4">
        <v>14876</v>
      </c>
      <c r="F110" s="4">
        <v>1531</v>
      </c>
      <c r="G110" s="3" t="s">
        <v>16</v>
      </c>
      <c r="H110" s="3" t="s">
        <v>315</v>
      </c>
      <c r="I110" s="3" t="s">
        <v>315</v>
      </c>
      <c r="J110" s="3" t="s">
        <v>316</v>
      </c>
      <c r="K110" s="3" t="s">
        <v>316</v>
      </c>
      <c r="L110" s="3" t="s">
        <v>18</v>
      </c>
      <c r="M110" s="3" t="s">
        <v>23</v>
      </c>
      <c r="N110" s="3" t="s">
        <v>20</v>
      </c>
      <c r="O110" s="4">
        <v>1213</v>
      </c>
      <c r="P110" s="5">
        <v>45937.002777777801</v>
      </c>
      <c r="Q110" s="4">
        <v>-1</v>
      </c>
      <c r="R110" s="5">
        <v>45937.002777777801</v>
      </c>
    </row>
    <row r="111" spans="1:18" x14ac:dyDescent="0.3">
      <c r="A111" s="3"/>
      <c r="B111" s="3"/>
      <c r="C111" s="3"/>
      <c r="D111" s="3">
        <v>110</v>
      </c>
      <c r="E111" s="4">
        <v>14877</v>
      </c>
      <c r="F111" s="4">
        <v>1531</v>
      </c>
      <c r="G111" s="3" t="s">
        <v>16</v>
      </c>
      <c r="H111" s="3" t="s">
        <v>317</v>
      </c>
      <c r="I111" s="3" t="s">
        <v>317</v>
      </c>
      <c r="J111" s="3" t="s">
        <v>318</v>
      </c>
      <c r="K111" s="3" t="s">
        <v>318</v>
      </c>
      <c r="L111" s="3" t="s">
        <v>18</v>
      </c>
      <c r="M111" s="3" t="s">
        <v>23</v>
      </c>
      <c r="N111" s="3" t="s">
        <v>20</v>
      </c>
      <c r="O111" s="4">
        <v>1213</v>
      </c>
      <c r="P111" s="5">
        <v>45937.004166666702</v>
      </c>
      <c r="Q111" s="4">
        <v>1213</v>
      </c>
      <c r="R111" s="5">
        <v>45973.2409722222</v>
      </c>
    </row>
    <row r="112" spans="1:18" x14ac:dyDescent="0.3">
      <c r="A112" s="3"/>
      <c r="B112" s="3"/>
      <c r="C112" s="3"/>
      <c r="D112" s="3">
        <v>111</v>
      </c>
      <c r="E112" s="4">
        <v>14949</v>
      </c>
      <c r="F112" s="4">
        <v>1531</v>
      </c>
      <c r="G112" s="3" t="s">
        <v>16</v>
      </c>
      <c r="H112" s="3" t="s">
        <v>319</v>
      </c>
      <c r="I112" s="3" t="s">
        <v>319</v>
      </c>
      <c r="J112" s="3" t="s">
        <v>320</v>
      </c>
      <c r="K112" s="3" t="s">
        <v>320</v>
      </c>
      <c r="L112" s="3" t="s">
        <v>18</v>
      </c>
      <c r="M112" s="3" t="s">
        <v>23</v>
      </c>
      <c r="N112" s="3" t="s">
        <v>20</v>
      </c>
      <c r="O112" s="4">
        <v>1213</v>
      </c>
      <c r="P112" s="5">
        <v>45951.5444444444</v>
      </c>
      <c r="Q112" s="4">
        <v>-1</v>
      </c>
      <c r="R112" s="5">
        <v>45951.5444444444</v>
      </c>
    </row>
    <row r="113" spans="1:18" x14ac:dyDescent="0.3">
      <c r="A113" s="3"/>
      <c r="B113" s="3"/>
      <c r="C113" s="3"/>
      <c r="D113" s="3">
        <v>112</v>
      </c>
      <c r="E113" s="4">
        <v>14878</v>
      </c>
      <c r="F113" s="4">
        <v>1531</v>
      </c>
      <c r="G113" s="3" t="s">
        <v>16</v>
      </c>
      <c r="H113" s="3" t="s">
        <v>321</v>
      </c>
      <c r="I113" s="3" t="s">
        <v>321</v>
      </c>
      <c r="J113" s="3" t="s">
        <v>322</v>
      </c>
      <c r="K113" s="3" t="s">
        <v>322</v>
      </c>
      <c r="L113" s="3" t="s">
        <v>18</v>
      </c>
      <c r="M113" s="3" t="s">
        <v>23</v>
      </c>
      <c r="N113" s="3" t="s">
        <v>20</v>
      </c>
      <c r="O113" s="4">
        <v>1213</v>
      </c>
      <c r="P113" s="5">
        <v>45937.003472222197</v>
      </c>
      <c r="Q113" s="4">
        <v>-1</v>
      </c>
      <c r="R113" s="5">
        <v>45937.003472222197</v>
      </c>
    </row>
    <row r="114" spans="1:18" x14ac:dyDescent="0.3">
      <c r="A114" s="3"/>
      <c r="B114" s="3"/>
      <c r="C114" s="3"/>
      <c r="D114" s="3">
        <v>113</v>
      </c>
      <c r="E114" s="4">
        <v>14883</v>
      </c>
      <c r="F114" s="4">
        <v>1531</v>
      </c>
      <c r="G114" s="3" t="s">
        <v>16</v>
      </c>
      <c r="H114" s="3" t="s">
        <v>323</v>
      </c>
      <c r="I114" s="3" t="s">
        <v>323</v>
      </c>
      <c r="J114" s="3" t="s">
        <v>324</v>
      </c>
      <c r="K114" s="3" t="s">
        <v>324</v>
      </c>
      <c r="L114" s="3" t="s">
        <v>18</v>
      </c>
      <c r="M114" s="3" t="s">
        <v>23</v>
      </c>
      <c r="N114" s="3" t="s">
        <v>20</v>
      </c>
      <c r="O114" s="4">
        <v>1213</v>
      </c>
      <c r="P114" s="5">
        <v>45936.190277777801</v>
      </c>
      <c r="Q114" s="4">
        <v>1213</v>
      </c>
      <c r="R114" s="5">
        <v>45969.563888888901</v>
      </c>
    </row>
    <row r="115" spans="1:18" x14ac:dyDescent="0.3">
      <c r="A115" s="3"/>
      <c r="B115" s="3"/>
      <c r="C115" s="3"/>
      <c r="D115" s="3">
        <v>114</v>
      </c>
      <c r="E115" s="4">
        <v>14879</v>
      </c>
      <c r="F115" s="4">
        <v>1531</v>
      </c>
      <c r="G115" s="3" t="s">
        <v>16</v>
      </c>
      <c r="H115" s="3" t="s">
        <v>325</v>
      </c>
      <c r="I115" s="3" t="s">
        <v>325</v>
      </c>
      <c r="J115" s="3" t="s">
        <v>326</v>
      </c>
      <c r="K115" s="3" t="s">
        <v>326</v>
      </c>
      <c r="L115" s="3" t="s">
        <v>18</v>
      </c>
      <c r="M115" s="3" t="s">
        <v>23</v>
      </c>
      <c r="N115" s="3" t="s">
        <v>20</v>
      </c>
      <c r="O115" s="4">
        <v>1213</v>
      </c>
      <c r="P115" s="5">
        <v>45937.003472222197</v>
      </c>
      <c r="Q115" s="4">
        <v>-1</v>
      </c>
      <c r="R115" s="5">
        <v>45937.003472222197</v>
      </c>
    </row>
    <row r="116" spans="1:18" x14ac:dyDescent="0.3">
      <c r="A116" s="3"/>
      <c r="B116" s="3"/>
      <c r="C116" s="3"/>
      <c r="D116" s="3">
        <v>115</v>
      </c>
      <c r="E116" s="4">
        <v>14884</v>
      </c>
      <c r="F116" s="4">
        <v>1531</v>
      </c>
      <c r="G116" s="3" t="s">
        <v>16</v>
      </c>
      <c r="H116" s="3" t="s">
        <v>327</v>
      </c>
      <c r="I116" s="3" t="s">
        <v>327</v>
      </c>
      <c r="J116" s="3" t="s">
        <v>328</v>
      </c>
      <c r="K116" s="3" t="s">
        <v>328</v>
      </c>
      <c r="L116" s="3" t="s">
        <v>18</v>
      </c>
      <c r="M116" s="3" t="s">
        <v>23</v>
      </c>
      <c r="N116" s="3" t="s">
        <v>20</v>
      </c>
      <c r="O116" s="4">
        <v>1213</v>
      </c>
      <c r="P116" s="5">
        <v>45936.189583333296</v>
      </c>
      <c r="Q116" s="4">
        <v>1213</v>
      </c>
      <c r="R116" s="5">
        <v>45969.563194444403</v>
      </c>
    </row>
    <row r="117" spans="1:18" x14ac:dyDescent="0.3">
      <c r="A117" s="3"/>
      <c r="B117" s="3"/>
      <c r="C117" s="3">
        <v>553</v>
      </c>
      <c r="D117" s="3">
        <v>116</v>
      </c>
      <c r="E117" s="4">
        <v>15324</v>
      </c>
      <c r="F117" s="4">
        <v>1531</v>
      </c>
      <c r="G117" s="3" t="s">
        <v>16</v>
      </c>
      <c r="H117" s="3" t="s">
        <v>329</v>
      </c>
      <c r="I117" s="3" t="s">
        <v>329</v>
      </c>
      <c r="J117" s="3" t="s">
        <v>330</v>
      </c>
      <c r="K117" s="3" t="s">
        <v>331</v>
      </c>
      <c r="L117" s="3" t="s">
        <v>18</v>
      </c>
      <c r="M117" s="3" t="s">
        <v>23</v>
      </c>
      <c r="N117" s="3" t="s">
        <v>20</v>
      </c>
      <c r="O117" s="4">
        <v>1213</v>
      </c>
      <c r="P117" s="5">
        <v>45915.161111111098</v>
      </c>
      <c r="Q117" s="4">
        <v>-1</v>
      </c>
      <c r="R117" s="5">
        <v>45915.161111111098</v>
      </c>
    </row>
    <row r="118" spans="1:18" x14ac:dyDescent="0.3">
      <c r="A118" s="3"/>
      <c r="B118" s="3"/>
      <c r="C118" s="3">
        <v>553</v>
      </c>
      <c r="D118" s="3">
        <v>117</v>
      </c>
      <c r="E118" s="4">
        <v>15325</v>
      </c>
      <c r="F118" s="4">
        <v>1531</v>
      </c>
      <c r="G118" s="3" t="s">
        <v>16</v>
      </c>
      <c r="H118" s="3" t="s">
        <v>332</v>
      </c>
      <c r="I118" s="3" t="s">
        <v>329</v>
      </c>
      <c r="J118" s="3" t="s">
        <v>333</v>
      </c>
      <c r="K118" s="3" t="s">
        <v>334</v>
      </c>
      <c r="L118" s="3" t="s">
        <v>26</v>
      </c>
      <c r="M118" s="3" t="s">
        <v>31</v>
      </c>
      <c r="N118" s="3" t="s">
        <v>20</v>
      </c>
      <c r="O118" s="4">
        <v>1213</v>
      </c>
      <c r="P118" s="5">
        <v>45915.161805555603</v>
      </c>
      <c r="Q118" s="4">
        <v>1213</v>
      </c>
      <c r="R118" s="5">
        <v>45915.203472222202</v>
      </c>
    </row>
    <row r="119" spans="1:18" x14ac:dyDescent="0.3">
      <c r="A119" s="3"/>
      <c r="B119" s="3"/>
      <c r="C119" s="3">
        <v>553</v>
      </c>
      <c r="D119" s="3">
        <v>118</v>
      </c>
      <c r="E119" s="4">
        <v>15328</v>
      </c>
      <c r="F119" s="4">
        <v>1531</v>
      </c>
      <c r="G119" s="3" t="s">
        <v>16</v>
      </c>
      <c r="H119" s="3" t="s">
        <v>335</v>
      </c>
      <c r="I119" s="3" t="s">
        <v>335</v>
      </c>
      <c r="J119" s="3" t="s">
        <v>336</v>
      </c>
      <c r="K119" s="3" t="s">
        <v>331</v>
      </c>
      <c r="L119" s="3" t="s">
        <v>18</v>
      </c>
      <c r="M119" s="3" t="s">
        <v>23</v>
      </c>
      <c r="N119" s="3" t="s">
        <v>20</v>
      </c>
      <c r="O119" s="4">
        <v>1213</v>
      </c>
      <c r="P119" s="5">
        <v>45915.161111111098</v>
      </c>
      <c r="Q119" s="4">
        <v>-1</v>
      </c>
      <c r="R119" s="5">
        <v>45915.161111111098</v>
      </c>
    </row>
    <row r="120" spans="1:18" x14ac:dyDescent="0.3">
      <c r="A120" s="3"/>
      <c r="B120" s="3"/>
      <c r="C120" s="3">
        <v>553</v>
      </c>
      <c r="D120" s="3">
        <v>119</v>
      </c>
      <c r="E120" s="4">
        <v>15329</v>
      </c>
      <c r="F120" s="4">
        <v>1531</v>
      </c>
      <c r="G120" s="3" t="s">
        <v>16</v>
      </c>
      <c r="H120" s="3" t="s">
        <v>337</v>
      </c>
      <c r="I120" s="3" t="s">
        <v>335</v>
      </c>
      <c r="J120" s="3" t="s">
        <v>338</v>
      </c>
      <c r="K120" s="3" t="s">
        <v>339</v>
      </c>
      <c r="L120" s="3" t="s">
        <v>26</v>
      </c>
      <c r="M120" s="3" t="s">
        <v>31</v>
      </c>
      <c r="N120" s="3" t="s">
        <v>20</v>
      </c>
      <c r="O120" s="4">
        <v>1213</v>
      </c>
      <c r="P120" s="5">
        <v>45915.161805555603</v>
      </c>
      <c r="Q120" s="4">
        <v>1213</v>
      </c>
      <c r="R120" s="5">
        <v>45915.203472222202</v>
      </c>
    </row>
    <row r="121" spans="1:18" x14ac:dyDescent="0.3">
      <c r="A121" s="3"/>
      <c r="B121" s="3"/>
      <c r="C121" s="3"/>
      <c r="D121" s="3">
        <v>120</v>
      </c>
      <c r="E121" s="4">
        <v>15082</v>
      </c>
      <c r="F121" s="4">
        <v>1531</v>
      </c>
      <c r="G121" s="3" t="s">
        <v>16</v>
      </c>
      <c r="H121" s="3" t="s">
        <v>340</v>
      </c>
      <c r="I121" s="3" t="s">
        <v>340</v>
      </c>
      <c r="J121" s="3" t="s">
        <v>216</v>
      </c>
      <c r="K121" s="3" t="s">
        <v>341</v>
      </c>
      <c r="L121" s="3" t="s">
        <v>26</v>
      </c>
      <c r="M121" s="3" t="s">
        <v>202</v>
      </c>
      <c r="N121" s="3" t="s">
        <v>20</v>
      </c>
      <c r="O121" s="4">
        <v>1213</v>
      </c>
      <c r="P121" s="5">
        <v>45975.2409722222</v>
      </c>
      <c r="Q121" s="4">
        <v>10000001</v>
      </c>
      <c r="R121" s="5">
        <v>45981.3215277778</v>
      </c>
    </row>
    <row r="122" spans="1:18" x14ac:dyDescent="0.3">
      <c r="A122" s="3"/>
      <c r="B122" s="3"/>
      <c r="C122" s="3">
        <v>553</v>
      </c>
      <c r="D122" s="3">
        <v>121</v>
      </c>
      <c r="E122" s="4">
        <v>14935</v>
      </c>
      <c r="F122" s="4">
        <v>6217</v>
      </c>
      <c r="G122" s="3" t="s">
        <v>16</v>
      </c>
      <c r="H122" s="3" t="s">
        <v>342</v>
      </c>
      <c r="I122" s="3" t="s">
        <v>343</v>
      </c>
      <c r="J122" s="3" t="s">
        <v>344</v>
      </c>
      <c r="K122" s="3" t="s">
        <v>345</v>
      </c>
      <c r="L122" s="3" t="s">
        <v>26</v>
      </c>
      <c r="M122" s="3" t="s">
        <v>346</v>
      </c>
      <c r="N122" s="3" t="s">
        <v>20</v>
      </c>
      <c r="O122" s="4">
        <v>1213</v>
      </c>
      <c r="P122" s="5">
        <v>45945.565972222197</v>
      </c>
      <c r="Q122" s="4">
        <v>1213</v>
      </c>
      <c r="R122" s="5">
        <v>45945.569444444402</v>
      </c>
    </row>
    <row r="123" spans="1:18" x14ac:dyDescent="0.3">
      <c r="A123" s="3"/>
      <c r="B123" s="3"/>
      <c r="C123" s="3">
        <v>553</v>
      </c>
      <c r="D123" s="3">
        <v>122</v>
      </c>
      <c r="E123" s="4">
        <v>15080</v>
      </c>
      <c r="F123" s="4">
        <v>1528</v>
      </c>
      <c r="G123" s="3" t="s">
        <v>16</v>
      </c>
      <c r="H123" s="3" t="s">
        <v>347</v>
      </c>
      <c r="I123" s="3" t="s">
        <v>347</v>
      </c>
      <c r="J123" s="3" t="s">
        <v>348</v>
      </c>
      <c r="K123" s="3" t="s">
        <v>349</v>
      </c>
      <c r="L123" s="3" t="s">
        <v>18</v>
      </c>
      <c r="M123" s="3" t="s">
        <v>350</v>
      </c>
      <c r="N123" s="3" t="s">
        <v>20</v>
      </c>
      <c r="O123" s="4">
        <v>1213</v>
      </c>
      <c r="P123" s="5">
        <v>46016.029861111099</v>
      </c>
      <c r="Q123" s="4">
        <v>1213</v>
      </c>
      <c r="R123" s="5">
        <v>46100.395138888904</v>
      </c>
    </row>
    <row r="124" spans="1:18" x14ac:dyDescent="0.3">
      <c r="A124" s="3"/>
      <c r="B124" s="3"/>
      <c r="C124" s="3">
        <v>553</v>
      </c>
      <c r="D124" s="3">
        <v>123</v>
      </c>
      <c r="E124" s="4">
        <v>15081</v>
      </c>
      <c r="F124" s="4">
        <v>1531</v>
      </c>
      <c r="G124" s="3" t="s">
        <v>16</v>
      </c>
      <c r="H124" s="3" t="s">
        <v>351</v>
      </c>
      <c r="I124" s="3" t="s">
        <v>347</v>
      </c>
      <c r="J124" s="3" t="s">
        <v>352</v>
      </c>
      <c r="K124" s="3" t="s">
        <v>352</v>
      </c>
      <c r="L124" s="3" t="s">
        <v>26</v>
      </c>
      <c r="M124" s="3" t="s">
        <v>75</v>
      </c>
      <c r="N124" s="3" t="s">
        <v>20</v>
      </c>
      <c r="O124" s="4">
        <v>1213</v>
      </c>
      <c r="P124" s="5">
        <v>46016.03125</v>
      </c>
      <c r="Q124" s="4">
        <v>553</v>
      </c>
      <c r="R124" s="5">
        <v>46051.139583333301</v>
      </c>
    </row>
    <row r="125" spans="1:18" hidden="1" x14ac:dyDescent="0.3">
      <c r="A125" s="3"/>
      <c r="B125" s="3" t="s">
        <v>465</v>
      </c>
      <c r="C125" s="3"/>
      <c r="D125" s="3">
        <v>124</v>
      </c>
      <c r="E125" s="4">
        <v>14901</v>
      </c>
      <c r="F125" s="4">
        <v>1531</v>
      </c>
      <c r="G125" s="3" t="s">
        <v>16</v>
      </c>
      <c r="H125" s="3" t="s">
        <v>353</v>
      </c>
      <c r="I125" s="3" t="s">
        <v>353</v>
      </c>
      <c r="J125" s="3" t="s">
        <v>354</v>
      </c>
      <c r="K125" s="3" t="s">
        <v>354</v>
      </c>
      <c r="L125" s="3" t="s">
        <v>18</v>
      </c>
      <c r="M125" s="3" t="s">
        <v>23</v>
      </c>
      <c r="N125" s="3" t="s">
        <v>20</v>
      </c>
      <c r="O125" s="4">
        <v>1213</v>
      </c>
      <c r="P125" s="5">
        <v>45941.0715277778</v>
      </c>
      <c r="Q125" s="4">
        <v>-1</v>
      </c>
      <c r="R125" s="5">
        <v>45941.0715277778</v>
      </c>
    </row>
    <row r="126" spans="1:18" hidden="1" x14ac:dyDescent="0.3">
      <c r="A126" s="3"/>
      <c r="B126" s="3" t="s">
        <v>465</v>
      </c>
      <c r="C126" s="3"/>
      <c r="D126" s="3">
        <v>125</v>
      </c>
      <c r="E126" s="4">
        <v>14902</v>
      </c>
      <c r="F126" s="4">
        <v>1531</v>
      </c>
      <c r="G126" s="3" t="s">
        <v>16</v>
      </c>
      <c r="H126" s="3" t="s">
        <v>355</v>
      </c>
      <c r="I126" s="3" t="s">
        <v>353</v>
      </c>
      <c r="J126" s="3" t="s">
        <v>356</v>
      </c>
      <c r="K126" s="3" t="s">
        <v>356</v>
      </c>
      <c r="L126" s="3" t="s">
        <v>26</v>
      </c>
      <c r="M126" s="3" t="s">
        <v>31</v>
      </c>
      <c r="N126" s="3" t="s">
        <v>20</v>
      </c>
      <c r="O126" s="4">
        <v>1213</v>
      </c>
      <c r="P126" s="5">
        <v>45941.072222222203</v>
      </c>
      <c r="Q126" s="4">
        <v>-1</v>
      </c>
      <c r="R126" s="5">
        <v>45941.072222222203</v>
      </c>
    </row>
    <row r="127" spans="1:18" hidden="1" x14ac:dyDescent="0.3">
      <c r="A127" s="3"/>
      <c r="B127" s="3" t="s">
        <v>465</v>
      </c>
      <c r="C127" s="3"/>
      <c r="D127" s="3">
        <v>126</v>
      </c>
      <c r="E127" s="4">
        <v>14825</v>
      </c>
      <c r="F127" s="4">
        <v>1531</v>
      </c>
      <c r="G127" s="3" t="s">
        <v>16</v>
      </c>
      <c r="H127" s="3" t="s">
        <v>357</v>
      </c>
      <c r="I127" s="3" t="s">
        <v>357</v>
      </c>
      <c r="J127" s="3" t="s">
        <v>358</v>
      </c>
      <c r="K127" s="3" t="s">
        <v>359</v>
      </c>
      <c r="L127" s="3" t="s">
        <v>18</v>
      </c>
      <c r="M127" s="3" t="s">
        <v>23</v>
      </c>
      <c r="N127" s="3" t="s">
        <v>20</v>
      </c>
      <c r="O127" s="4">
        <v>1213</v>
      </c>
      <c r="P127" s="5">
        <v>45920.320833333302</v>
      </c>
      <c r="Q127" s="4">
        <v>-1</v>
      </c>
      <c r="R127" s="5">
        <v>45920.320833333302</v>
      </c>
    </row>
    <row r="128" spans="1:18" hidden="1" x14ac:dyDescent="0.3">
      <c r="A128" s="3"/>
      <c r="B128" s="3" t="s">
        <v>465</v>
      </c>
      <c r="C128" s="3"/>
      <c r="D128" s="3">
        <v>127</v>
      </c>
      <c r="E128" s="4">
        <v>14826</v>
      </c>
      <c r="F128" s="4">
        <v>1531</v>
      </c>
      <c r="G128" s="3" t="s">
        <v>16</v>
      </c>
      <c r="H128" s="3" t="s">
        <v>360</v>
      </c>
      <c r="I128" s="3" t="s">
        <v>357</v>
      </c>
      <c r="J128" s="3" t="s">
        <v>361</v>
      </c>
      <c r="K128" s="3" t="s">
        <v>362</v>
      </c>
      <c r="L128" s="3" t="s">
        <v>26</v>
      </c>
      <c r="M128" s="3" t="s">
        <v>31</v>
      </c>
      <c r="N128" s="3" t="s">
        <v>20</v>
      </c>
      <c r="O128" s="4">
        <v>1213</v>
      </c>
      <c r="P128" s="5">
        <v>45920.320833333302</v>
      </c>
      <c r="Q128" s="4">
        <v>-1</v>
      </c>
      <c r="R128" s="5">
        <v>45920.320833333302</v>
      </c>
    </row>
    <row r="129" spans="1:18" hidden="1" x14ac:dyDescent="0.3">
      <c r="A129" s="3"/>
      <c r="B129" s="3" t="s">
        <v>465</v>
      </c>
      <c r="C129" s="3"/>
      <c r="D129" s="3">
        <v>128</v>
      </c>
      <c r="E129" s="4">
        <v>14823</v>
      </c>
      <c r="F129" s="4">
        <v>1531</v>
      </c>
      <c r="G129" s="3" t="s">
        <v>16</v>
      </c>
      <c r="H129" s="3" t="s">
        <v>363</v>
      </c>
      <c r="I129" s="3" t="s">
        <v>363</v>
      </c>
      <c r="J129" s="3" t="s">
        <v>364</v>
      </c>
      <c r="K129" s="3" t="s">
        <v>364</v>
      </c>
      <c r="L129" s="3" t="s">
        <v>18</v>
      </c>
      <c r="M129" s="3" t="s">
        <v>23</v>
      </c>
      <c r="N129" s="3" t="s">
        <v>20</v>
      </c>
      <c r="O129" s="4">
        <v>1213</v>
      </c>
      <c r="P129" s="5">
        <v>45915.163888888899</v>
      </c>
      <c r="Q129" s="4">
        <v>1213</v>
      </c>
      <c r="R129" s="5">
        <v>45939.671527777798</v>
      </c>
    </row>
    <row r="130" spans="1:18" hidden="1" x14ac:dyDescent="0.3">
      <c r="A130" s="3"/>
      <c r="B130" s="3" t="s">
        <v>465</v>
      </c>
      <c r="C130" s="3"/>
      <c r="D130" s="3">
        <v>129</v>
      </c>
      <c r="E130" s="4">
        <v>14824</v>
      </c>
      <c r="F130" s="4">
        <v>1531</v>
      </c>
      <c r="G130" s="3" t="s">
        <v>16</v>
      </c>
      <c r="H130" s="3" t="s">
        <v>365</v>
      </c>
      <c r="I130" s="3" t="s">
        <v>363</v>
      </c>
      <c r="J130" s="3" t="s">
        <v>366</v>
      </c>
      <c r="K130" s="3" t="s">
        <v>366</v>
      </c>
      <c r="L130" s="3" t="s">
        <v>26</v>
      </c>
      <c r="M130" s="3" t="s">
        <v>31</v>
      </c>
      <c r="N130" s="3" t="s">
        <v>20</v>
      </c>
      <c r="O130" s="4">
        <v>1213</v>
      </c>
      <c r="P130" s="5">
        <v>45915.164583333302</v>
      </c>
      <c r="Q130" s="4">
        <v>1213</v>
      </c>
      <c r="R130" s="5">
        <v>45939.672222222202</v>
      </c>
    </row>
    <row r="131" spans="1:18" x14ac:dyDescent="0.3">
      <c r="A131" s="3"/>
      <c r="B131" s="3"/>
      <c r="C131" s="3"/>
      <c r="D131" s="3">
        <v>130</v>
      </c>
      <c r="E131" s="4">
        <v>14893</v>
      </c>
      <c r="F131" s="4">
        <v>1531</v>
      </c>
      <c r="G131" s="3" t="s">
        <v>16</v>
      </c>
      <c r="H131" s="3" t="s">
        <v>367</v>
      </c>
      <c r="I131" s="3" t="s">
        <v>367</v>
      </c>
      <c r="J131" s="3" t="s">
        <v>368</v>
      </c>
      <c r="K131" s="3" t="s">
        <v>368</v>
      </c>
      <c r="L131" s="3" t="s">
        <v>18</v>
      </c>
      <c r="M131" s="3" t="s">
        <v>23</v>
      </c>
      <c r="N131" s="3" t="s">
        <v>20</v>
      </c>
      <c r="O131" s="4">
        <v>1213</v>
      </c>
      <c r="P131" s="5">
        <v>45939.6430555556</v>
      </c>
      <c r="Q131" s="4">
        <v>-1</v>
      </c>
      <c r="R131" s="5">
        <v>45939.6430555556</v>
      </c>
    </row>
    <row r="132" spans="1:18" x14ac:dyDescent="0.3">
      <c r="A132" s="3"/>
      <c r="B132" s="3"/>
      <c r="C132" s="3"/>
      <c r="D132" s="3">
        <v>131</v>
      </c>
      <c r="E132" s="4">
        <v>14894</v>
      </c>
      <c r="F132" s="4">
        <v>1531</v>
      </c>
      <c r="G132" s="3" t="s">
        <v>16</v>
      </c>
      <c r="H132" s="3" t="s">
        <v>369</v>
      </c>
      <c r="I132" s="3" t="s">
        <v>367</v>
      </c>
      <c r="J132" s="3" t="s">
        <v>370</v>
      </c>
      <c r="K132" s="3" t="s">
        <v>370</v>
      </c>
      <c r="L132" s="3" t="s">
        <v>26</v>
      </c>
      <c r="M132" s="3" t="s">
        <v>31</v>
      </c>
      <c r="N132" s="3" t="s">
        <v>20</v>
      </c>
      <c r="O132" s="4">
        <v>1213</v>
      </c>
      <c r="P132" s="5">
        <v>45939.6430555556</v>
      </c>
      <c r="Q132" s="4">
        <v>-1</v>
      </c>
      <c r="R132" s="5">
        <v>45939.6430555556</v>
      </c>
    </row>
    <row r="133" spans="1:18" x14ac:dyDescent="0.3">
      <c r="A133" s="3"/>
      <c r="B133" s="3"/>
      <c r="C133" s="3"/>
      <c r="D133" s="3">
        <v>132</v>
      </c>
      <c r="E133" s="4">
        <v>14967</v>
      </c>
      <c r="F133" s="4">
        <v>1531</v>
      </c>
      <c r="G133" s="3" t="s">
        <v>16</v>
      </c>
      <c r="H133" s="3" t="s">
        <v>371</v>
      </c>
      <c r="I133" s="3" t="s">
        <v>371</v>
      </c>
      <c r="J133" s="3" t="s">
        <v>372</v>
      </c>
      <c r="K133" s="3" t="s">
        <v>373</v>
      </c>
      <c r="L133" s="3" t="s">
        <v>18</v>
      </c>
      <c r="M133" s="3" t="s">
        <v>75</v>
      </c>
      <c r="N133" s="3" t="s">
        <v>20</v>
      </c>
      <c r="O133" s="4">
        <v>1213</v>
      </c>
      <c r="P133" s="5">
        <v>45958.113888888904</v>
      </c>
      <c r="Q133" s="4">
        <v>553</v>
      </c>
      <c r="R133" s="5">
        <v>46209.116666666698</v>
      </c>
    </row>
    <row r="134" spans="1:18" x14ac:dyDescent="0.3">
      <c r="A134" s="3"/>
      <c r="B134" s="3"/>
      <c r="C134" s="3"/>
      <c r="D134" s="3">
        <v>133</v>
      </c>
      <c r="E134" s="4">
        <v>14968</v>
      </c>
      <c r="F134" s="4">
        <v>1531</v>
      </c>
      <c r="G134" s="3" t="s">
        <v>16</v>
      </c>
      <c r="H134" s="3" t="s">
        <v>374</v>
      </c>
      <c r="I134" s="3" t="s">
        <v>371</v>
      </c>
      <c r="J134" s="3" t="s">
        <v>375</v>
      </c>
      <c r="K134" s="3" t="s">
        <v>376</v>
      </c>
      <c r="L134" s="3" t="s">
        <v>26</v>
      </c>
      <c r="M134" s="3" t="s">
        <v>377</v>
      </c>
      <c r="N134" s="3" t="s">
        <v>20</v>
      </c>
      <c r="O134" s="4">
        <v>1213</v>
      </c>
      <c r="P134" s="5">
        <v>45958.113888888904</v>
      </c>
      <c r="Q134" s="4">
        <v>-1</v>
      </c>
      <c r="R134" s="5">
        <v>45958.113888888904</v>
      </c>
    </row>
    <row r="135" spans="1:18" x14ac:dyDescent="0.3">
      <c r="A135" s="3"/>
      <c r="B135" s="3"/>
      <c r="C135" s="3"/>
      <c r="D135" s="3">
        <v>134</v>
      </c>
      <c r="E135" s="4">
        <v>14817</v>
      </c>
      <c r="F135" s="4">
        <v>1531</v>
      </c>
      <c r="G135" s="3" t="s">
        <v>16</v>
      </c>
      <c r="H135" s="3" t="s">
        <v>378</v>
      </c>
      <c r="I135" s="3" t="s">
        <v>378</v>
      </c>
      <c r="J135" s="3" t="s">
        <v>379</v>
      </c>
      <c r="K135" s="3" t="s">
        <v>380</v>
      </c>
      <c r="L135" s="3" t="s">
        <v>18</v>
      </c>
      <c r="M135" s="3" t="s">
        <v>23</v>
      </c>
      <c r="N135" s="3" t="s">
        <v>20</v>
      </c>
      <c r="O135" s="4">
        <v>1213</v>
      </c>
      <c r="P135" s="5">
        <v>45915.161111111098</v>
      </c>
      <c r="Q135" s="4">
        <v>-1</v>
      </c>
      <c r="R135" s="5">
        <v>45915.161111111098</v>
      </c>
    </row>
    <row r="136" spans="1:18" x14ac:dyDescent="0.3">
      <c r="A136" s="3"/>
      <c r="B136" s="3"/>
      <c r="C136" s="3"/>
      <c r="D136" s="3">
        <v>135</v>
      </c>
      <c r="E136" s="4">
        <v>14818</v>
      </c>
      <c r="F136" s="4">
        <v>1531</v>
      </c>
      <c r="G136" s="3" t="s">
        <v>16</v>
      </c>
      <c r="H136" s="3" t="s">
        <v>381</v>
      </c>
      <c r="I136" s="3" t="s">
        <v>378</v>
      </c>
      <c r="J136" s="3" t="s">
        <v>382</v>
      </c>
      <c r="K136" s="3" t="s">
        <v>383</v>
      </c>
      <c r="L136" s="3" t="s">
        <v>26</v>
      </c>
      <c r="M136" s="3" t="s">
        <v>31</v>
      </c>
      <c r="N136" s="3" t="s">
        <v>20</v>
      </c>
      <c r="O136" s="4">
        <v>1213</v>
      </c>
      <c r="P136" s="5">
        <v>45915.161805555603</v>
      </c>
      <c r="Q136" s="4">
        <v>1213</v>
      </c>
      <c r="R136" s="5">
        <v>45915.203472222202</v>
      </c>
    </row>
    <row r="137" spans="1:18" x14ac:dyDescent="0.3">
      <c r="A137" s="3"/>
      <c r="B137" s="3"/>
      <c r="C137" s="3"/>
      <c r="D137" s="3">
        <v>136</v>
      </c>
      <c r="E137" s="4">
        <v>14895</v>
      </c>
      <c r="F137" s="4">
        <v>1531</v>
      </c>
      <c r="G137" s="3" t="s">
        <v>16</v>
      </c>
      <c r="H137" s="3" t="s">
        <v>384</v>
      </c>
      <c r="I137" s="3" t="s">
        <v>384</v>
      </c>
      <c r="J137" s="3" t="s">
        <v>385</v>
      </c>
      <c r="K137" s="3" t="s">
        <v>385</v>
      </c>
      <c r="L137" s="3" t="s">
        <v>18</v>
      </c>
      <c r="M137" s="3" t="s">
        <v>23</v>
      </c>
      <c r="N137" s="3" t="s">
        <v>20</v>
      </c>
      <c r="O137" s="4">
        <v>1213</v>
      </c>
      <c r="P137" s="5">
        <v>45940.316666666702</v>
      </c>
      <c r="Q137" s="4">
        <v>-1</v>
      </c>
      <c r="R137" s="5">
        <v>45940.316666666702</v>
      </c>
    </row>
    <row r="138" spans="1:18" x14ac:dyDescent="0.3">
      <c r="A138" s="3"/>
      <c r="B138" s="3"/>
      <c r="C138" s="3"/>
      <c r="D138" s="3">
        <v>137</v>
      </c>
      <c r="E138" s="4">
        <v>14896</v>
      </c>
      <c r="F138" s="4">
        <v>1531</v>
      </c>
      <c r="G138" s="3" t="s">
        <v>16</v>
      </c>
      <c r="H138" s="3" t="s">
        <v>386</v>
      </c>
      <c r="I138" s="3" t="s">
        <v>384</v>
      </c>
      <c r="J138" s="3" t="s">
        <v>387</v>
      </c>
      <c r="K138" s="3" t="s">
        <v>387</v>
      </c>
      <c r="L138" s="3" t="s">
        <v>26</v>
      </c>
      <c r="M138" s="3" t="s">
        <v>31</v>
      </c>
      <c r="N138" s="3" t="s">
        <v>20</v>
      </c>
      <c r="O138" s="4">
        <v>1213</v>
      </c>
      <c r="P138" s="5">
        <v>45940.316666666702</v>
      </c>
      <c r="Q138" s="4">
        <v>-1</v>
      </c>
      <c r="R138" s="5">
        <v>45940.316666666702</v>
      </c>
    </row>
    <row r="139" spans="1:18" x14ac:dyDescent="0.3">
      <c r="A139" s="3"/>
      <c r="B139" s="3"/>
      <c r="C139" s="3"/>
      <c r="D139" s="3">
        <v>138</v>
      </c>
      <c r="E139" s="4">
        <v>14960</v>
      </c>
      <c r="F139" s="4">
        <v>1531</v>
      </c>
      <c r="G139" s="3" t="s">
        <v>16</v>
      </c>
      <c r="H139" s="3" t="s">
        <v>388</v>
      </c>
      <c r="I139" s="3" t="s">
        <v>388</v>
      </c>
      <c r="J139" s="3" t="s">
        <v>389</v>
      </c>
      <c r="K139" s="3" t="s">
        <v>390</v>
      </c>
      <c r="L139" s="3" t="s">
        <v>18</v>
      </c>
      <c r="M139" s="3" t="s">
        <v>23</v>
      </c>
      <c r="N139" s="3" t="s">
        <v>20</v>
      </c>
      <c r="O139" s="4">
        <v>1213</v>
      </c>
      <c r="P139" s="5">
        <v>45957.3034722222</v>
      </c>
      <c r="Q139" s="4">
        <v>1213</v>
      </c>
      <c r="R139" s="5">
        <v>45957.382638888899</v>
      </c>
    </row>
    <row r="140" spans="1:18" x14ac:dyDescent="0.3">
      <c r="A140" s="3"/>
      <c r="B140" s="3"/>
      <c r="C140" s="3"/>
      <c r="D140" s="3">
        <v>139</v>
      </c>
      <c r="E140" s="4">
        <v>14961</v>
      </c>
      <c r="F140" s="4">
        <v>1531</v>
      </c>
      <c r="G140" s="3" t="s">
        <v>16</v>
      </c>
      <c r="H140" s="3" t="s">
        <v>391</v>
      </c>
      <c r="I140" s="3" t="s">
        <v>388</v>
      </c>
      <c r="J140" s="3" t="s">
        <v>392</v>
      </c>
      <c r="K140" s="3" t="s">
        <v>393</v>
      </c>
      <c r="L140" s="3" t="s">
        <v>26</v>
      </c>
      <c r="M140" s="3" t="s">
        <v>31</v>
      </c>
      <c r="N140" s="3" t="s">
        <v>20</v>
      </c>
      <c r="O140" s="4">
        <v>1213</v>
      </c>
      <c r="P140" s="5">
        <v>45957.304166666698</v>
      </c>
      <c r="Q140" s="4">
        <v>1213</v>
      </c>
      <c r="R140" s="5">
        <v>46015.068749999999</v>
      </c>
    </row>
    <row r="141" spans="1:18" x14ac:dyDescent="0.3">
      <c r="A141" s="3"/>
      <c r="B141" s="3"/>
      <c r="C141" s="3"/>
      <c r="D141" s="3">
        <v>140</v>
      </c>
      <c r="E141" s="4">
        <v>14962</v>
      </c>
      <c r="F141" s="4">
        <v>1531</v>
      </c>
      <c r="G141" s="3" t="s">
        <v>16</v>
      </c>
      <c r="H141" s="3" t="s">
        <v>394</v>
      </c>
      <c r="I141" s="3" t="s">
        <v>394</v>
      </c>
      <c r="J141" s="3" t="s">
        <v>395</v>
      </c>
      <c r="K141" s="3" t="s">
        <v>396</v>
      </c>
      <c r="L141" s="3" t="s">
        <v>18</v>
      </c>
      <c r="M141" s="3" t="s">
        <v>23</v>
      </c>
      <c r="N141" s="3" t="s">
        <v>20</v>
      </c>
      <c r="O141" s="4">
        <v>1213</v>
      </c>
      <c r="P141" s="5">
        <v>45957.319444444402</v>
      </c>
      <c r="Q141" s="4">
        <v>1213</v>
      </c>
      <c r="R141" s="5">
        <v>45957.383333333302</v>
      </c>
    </row>
    <row r="142" spans="1:18" x14ac:dyDescent="0.3">
      <c r="A142" s="3"/>
      <c r="B142" s="3"/>
      <c r="C142" s="3"/>
      <c r="D142" s="3">
        <v>141</v>
      </c>
      <c r="E142" s="4">
        <v>14963</v>
      </c>
      <c r="F142" s="4">
        <v>1531</v>
      </c>
      <c r="G142" s="3" t="s">
        <v>16</v>
      </c>
      <c r="H142" s="3" t="s">
        <v>397</v>
      </c>
      <c r="I142" s="3" t="s">
        <v>394</v>
      </c>
      <c r="J142" s="3" t="s">
        <v>398</v>
      </c>
      <c r="K142" s="3" t="s">
        <v>399</v>
      </c>
      <c r="L142" s="3" t="s">
        <v>26</v>
      </c>
      <c r="M142" s="3" t="s">
        <v>31</v>
      </c>
      <c r="N142" s="3" t="s">
        <v>20</v>
      </c>
      <c r="O142" s="4">
        <v>1213</v>
      </c>
      <c r="P142" s="5">
        <v>45957.320833333302</v>
      </c>
      <c r="Q142" s="4">
        <v>1213</v>
      </c>
      <c r="R142" s="5">
        <v>45957.3840277778</v>
      </c>
    </row>
    <row r="143" spans="1:18" x14ac:dyDescent="0.3">
      <c r="A143" s="3"/>
      <c r="B143" s="3"/>
      <c r="C143" s="3"/>
      <c r="D143" s="3">
        <v>142</v>
      </c>
      <c r="E143" s="4">
        <v>14819</v>
      </c>
      <c r="F143" s="4">
        <v>1531</v>
      </c>
      <c r="G143" s="3" t="s">
        <v>16</v>
      </c>
      <c r="H143" s="3" t="s">
        <v>400</v>
      </c>
      <c r="I143" s="3" t="s">
        <v>400</v>
      </c>
      <c r="J143" s="3" t="s">
        <v>401</v>
      </c>
      <c r="K143" s="3" t="s">
        <v>402</v>
      </c>
      <c r="L143" s="3" t="s">
        <v>18</v>
      </c>
      <c r="M143" s="3" t="s">
        <v>23</v>
      </c>
      <c r="N143" s="3" t="s">
        <v>20</v>
      </c>
      <c r="O143" s="4">
        <v>1213</v>
      </c>
      <c r="P143" s="5">
        <v>45915.161805555603</v>
      </c>
      <c r="Q143" s="4">
        <v>-1</v>
      </c>
      <c r="R143" s="5">
        <v>45915.161805555603</v>
      </c>
    </row>
    <row r="144" spans="1:18" x14ac:dyDescent="0.3">
      <c r="A144" s="3"/>
      <c r="B144" s="3"/>
      <c r="C144" s="3"/>
      <c r="D144" s="3">
        <v>143</v>
      </c>
      <c r="E144" s="4">
        <v>14820</v>
      </c>
      <c r="F144" s="4">
        <v>1531</v>
      </c>
      <c r="G144" s="3" t="s">
        <v>16</v>
      </c>
      <c r="H144" s="3" t="s">
        <v>403</v>
      </c>
      <c r="I144" s="3" t="s">
        <v>400</v>
      </c>
      <c r="J144" s="3" t="s">
        <v>404</v>
      </c>
      <c r="K144" s="3" t="s">
        <v>405</v>
      </c>
      <c r="L144" s="3" t="s">
        <v>26</v>
      </c>
      <c r="M144" s="3" t="s">
        <v>31</v>
      </c>
      <c r="N144" s="3" t="s">
        <v>20</v>
      </c>
      <c r="O144" s="4">
        <v>1213</v>
      </c>
      <c r="P144" s="5">
        <v>45915.162499999999</v>
      </c>
      <c r="Q144" s="4">
        <v>1213</v>
      </c>
      <c r="R144" s="5">
        <v>45915.203472222202</v>
      </c>
    </row>
    <row r="145" spans="1:18" x14ac:dyDescent="0.3">
      <c r="A145" s="3"/>
      <c r="B145" s="3"/>
      <c r="C145" s="3"/>
      <c r="D145" s="3">
        <v>144</v>
      </c>
      <c r="E145" s="4">
        <v>14958</v>
      </c>
      <c r="F145" s="4">
        <v>1531</v>
      </c>
      <c r="G145" s="3" t="s">
        <v>16</v>
      </c>
      <c r="H145" s="3" t="s">
        <v>406</v>
      </c>
      <c r="I145" s="3" t="s">
        <v>406</v>
      </c>
      <c r="J145" s="3" t="s">
        <v>407</v>
      </c>
      <c r="K145" s="3" t="s">
        <v>408</v>
      </c>
      <c r="L145" s="3" t="s">
        <v>18</v>
      </c>
      <c r="M145" s="3" t="s">
        <v>23</v>
      </c>
      <c r="N145" s="3" t="s">
        <v>20</v>
      </c>
      <c r="O145" s="4">
        <v>1213</v>
      </c>
      <c r="P145" s="5">
        <v>45957.059027777803</v>
      </c>
      <c r="Q145" s="4">
        <v>-1</v>
      </c>
      <c r="R145" s="5">
        <v>45957.059027777803</v>
      </c>
    </row>
    <row r="146" spans="1:18" x14ac:dyDescent="0.3">
      <c r="A146" s="3"/>
      <c r="B146" s="3"/>
      <c r="C146" s="3"/>
      <c r="D146" s="3">
        <v>145</v>
      </c>
      <c r="E146" s="4">
        <v>14959</v>
      </c>
      <c r="F146" s="4">
        <v>1531</v>
      </c>
      <c r="G146" s="3" t="s">
        <v>16</v>
      </c>
      <c r="H146" s="3" t="s">
        <v>409</v>
      </c>
      <c r="I146" s="3" t="s">
        <v>406</v>
      </c>
      <c r="J146" s="3" t="s">
        <v>410</v>
      </c>
      <c r="K146" s="3" t="s">
        <v>411</v>
      </c>
      <c r="L146" s="3" t="s">
        <v>26</v>
      </c>
      <c r="M146" s="3" t="s">
        <v>31</v>
      </c>
      <c r="N146" s="3" t="s">
        <v>20</v>
      </c>
      <c r="O146" s="4">
        <v>1213</v>
      </c>
      <c r="P146" s="5">
        <v>45957.059722222199</v>
      </c>
      <c r="Q146" s="4">
        <v>-1</v>
      </c>
      <c r="R146" s="5">
        <v>45957.059722222199</v>
      </c>
    </row>
    <row r="147" spans="1:18" x14ac:dyDescent="0.3">
      <c r="A147" s="3"/>
      <c r="B147" s="3"/>
      <c r="C147" s="3"/>
      <c r="D147" s="3">
        <v>146</v>
      </c>
      <c r="E147" s="4">
        <v>14821</v>
      </c>
      <c r="F147" s="4">
        <v>1531</v>
      </c>
      <c r="G147" s="3" t="s">
        <v>16</v>
      </c>
      <c r="H147" s="3" t="s">
        <v>412</v>
      </c>
      <c r="I147" s="3" t="s">
        <v>412</v>
      </c>
      <c r="J147" s="3" t="s">
        <v>413</v>
      </c>
      <c r="K147" s="3" t="s">
        <v>414</v>
      </c>
      <c r="L147" s="3" t="s">
        <v>18</v>
      </c>
      <c r="M147" s="3" t="s">
        <v>23</v>
      </c>
      <c r="N147" s="3" t="s">
        <v>20</v>
      </c>
      <c r="O147" s="4">
        <v>1213</v>
      </c>
      <c r="P147" s="5">
        <v>45915.163194444402</v>
      </c>
      <c r="Q147" s="4">
        <v>-1</v>
      </c>
      <c r="R147" s="5">
        <v>45915.163194444402</v>
      </c>
    </row>
    <row r="148" spans="1:18" x14ac:dyDescent="0.3">
      <c r="A148" s="3"/>
      <c r="B148" s="3"/>
      <c r="C148" s="3"/>
      <c r="D148" s="3">
        <v>147</v>
      </c>
      <c r="E148" s="4">
        <v>14822</v>
      </c>
      <c r="F148" s="4">
        <v>1531</v>
      </c>
      <c r="G148" s="3" t="s">
        <v>16</v>
      </c>
      <c r="H148" s="3" t="s">
        <v>415</v>
      </c>
      <c r="I148" s="3" t="s">
        <v>412</v>
      </c>
      <c r="J148" s="3" t="s">
        <v>416</v>
      </c>
      <c r="K148" s="3" t="s">
        <v>405</v>
      </c>
      <c r="L148" s="3" t="s">
        <v>26</v>
      </c>
      <c r="M148" s="3" t="s">
        <v>31</v>
      </c>
      <c r="N148" s="3" t="s">
        <v>20</v>
      </c>
      <c r="O148" s="4">
        <v>1213</v>
      </c>
      <c r="P148" s="5">
        <v>45915.163194444402</v>
      </c>
      <c r="Q148" s="4">
        <v>1213</v>
      </c>
      <c r="R148" s="5">
        <v>45915.203472222202</v>
      </c>
    </row>
    <row r="149" spans="1:18" hidden="1" x14ac:dyDescent="0.3">
      <c r="A149" s="3"/>
      <c r="B149" s="3" t="s">
        <v>465</v>
      </c>
      <c r="C149" s="3"/>
      <c r="D149" s="3">
        <v>148</v>
      </c>
      <c r="E149" s="4">
        <v>14849</v>
      </c>
      <c r="F149" s="4">
        <v>1531</v>
      </c>
      <c r="G149" s="3" t="s">
        <v>16</v>
      </c>
      <c r="H149" s="3" t="s">
        <v>417</v>
      </c>
      <c r="I149" s="3" t="s">
        <v>417</v>
      </c>
      <c r="J149" s="3" t="s">
        <v>418</v>
      </c>
      <c r="K149" s="3" t="s">
        <v>419</v>
      </c>
      <c r="L149" s="3" t="s">
        <v>18</v>
      </c>
      <c r="M149" s="3" t="s">
        <v>23</v>
      </c>
      <c r="N149" s="3" t="s">
        <v>20</v>
      </c>
      <c r="O149" s="4">
        <v>1213</v>
      </c>
      <c r="P149" s="5">
        <v>45929.667361111096</v>
      </c>
      <c r="Q149" s="4">
        <v>553</v>
      </c>
      <c r="R149" s="5">
        <v>46007.126388888901</v>
      </c>
    </row>
    <row r="150" spans="1:18" hidden="1" x14ac:dyDescent="0.3">
      <c r="A150" s="3"/>
      <c r="B150" s="3" t="s">
        <v>465</v>
      </c>
      <c r="C150" s="3"/>
      <c r="D150" s="3">
        <v>149</v>
      </c>
      <c r="E150" s="4">
        <v>14850</v>
      </c>
      <c r="F150" s="4">
        <v>1531</v>
      </c>
      <c r="G150" s="3" t="s">
        <v>16</v>
      </c>
      <c r="H150" s="3" t="s">
        <v>420</v>
      </c>
      <c r="I150" s="3" t="s">
        <v>417</v>
      </c>
      <c r="J150" s="3" t="s">
        <v>421</v>
      </c>
      <c r="K150" s="3" t="s">
        <v>422</v>
      </c>
      <c r="L150" s="3" t="s">
        <v>26</v>
      </c>
      <c r="M150" s="3" t="s">
        <v>31</v>
      </c>
      <c r="N150" s="3" t="s">
        <v>20</v>
      </c>
      <c r="O150" s="4">
        <v>1213</v>
      </c>
      <c r="P150" s="5">
        <v>45929.668055555601</v>
      </c>
      <c r="Q150" s="4">
        <v>-1</v>
      </c>
      <c r="R150" s="5">
        <v>45929.668055555601</v>
      </c>
    </row>
    <row r="151" spans="1:18" x14ac:dyDescent="0.3">
      <c r="A151" s="3"/>
      <c r="B151" s="3"/>
      <c r="C151" s="3"/>
      <c r="D151" s="3">
        <v>150</v>
      </c>
      <c r="E151" s="4">
        <v>14980</v>
      </c>
      <c r="F151" s="4">
        <v>1531</v>
      </c>
      <c r="G151" s="3" t="s">
        <v>16</v>
      </c>
      <c r="H151" s="3" t="s">
        <v>423</v>
      </c>
      <c r="I151" s="3" t="s">
        <v>424</v>
      </c>
      <c r="J151" s="3" t="s">
        <v>425</v>
      </c>
      <c r="K151" s="3" t="s">
        <v>425</v>
      </c>
      <c r="L151" s="3" t="s">
        <v>26</v>
      </c>
      <c r="M151" s="3" t="s">
        <v>31</v>
      </c>
      <c r="N151" s="3" t="s">
        <v>20</v>
      </c>
      <c r="O151" s="4">
        <v>1213</v>
      </c>
      <c r="P151" s="5">
        <v>45968.184027777803</v>
      </c>
      <c r="Q151" s="4">
        <v>1213</v>
      </c>
      <c r="R151" s="5">
        <v>45993.186111111099</v>
      </c>
    </row>
    <row r="152" spans="1:18" x14ac:dyDescent="0.3">
      <c r="A152" s="3"/>
      <c r="B152" s="3"/>
      <c r="C152" s="3"/>
      <c r="D152" s="3">
        <v>151</v>
      </c>
      <c r="E152" s="4">
        <v>15022</v>
      </c>
      <c r="F152" s="4">
        <v>1531</v>
      </c>
      <c r="G152" s="3" t="s">
        <v>16</v>
      </c>
      <c r="H152" s="3" t="s">
        <v>424</v>
      </c>
      <c r="I152" s="3" t="s">
        <v>424</v>
      </c>
      <c r="J152" s="3" t="s">
        <v>426</v>
      </c>
      <c r="K152" s="3" t="s">
        <v>426</v>
      </c>
      <c r="L152" s="3" t="s">
        <v>18</v>
      </c>
      <c r="M152" s="3" t="s">
        <v>23</v>
      </c>
      <c r="N152" s="3" t="s">
        <v>20</v>
      </c>
      <c r="O152" s="4">
        <v>1213</v>
      </c>
      <c r="P152" s="5">
        <v>45992.1069444444</v>
      </c>
      <c r="Q152" s="4">
        <v>1213</v>
      </c>
      <c r="R152" s="5">
        <v>45993.189583333296</v>
      </c>
    </row>
    <row r="153" spans="1:18" x14ac:dyDescent="0.3">
      <c r="A153" s="3"/>
      <c r="B153" s="3"/>
      <c r="C153" s="3"/>
      <c r="D153" s="3">
        <v>152</v>
      </c>
      <c r="E153" s="4">
        <v>15030</v>
      </c>
      <c r="F153" s="4">
        <v>1531</v>
      </c>
      <c r="G153" s="3" t="s">
        <v>16</v>
      </c>
      <c r="H153" s="3" t="s">
        <v>427</v>
      </c>
      <c r="I153" s="3" t="s">
        <v>427</v>
      </c>
      <c r="J153" s="3" t="s">
        <v>364</v>
      </c>
      <c r="K153" s="3" t="s">
        <v>364</v>
      </c>
      <c r="L153" s="3" t="s">
        <v>18</v>
      </c>
      <c r="M153" s="3" t="s">
        <v>23</v>
      </c>
      <c r="N153" s="3" t="s">
        <v>20</v>
      </c>
      <c r="O153" s="4">
        <v>1213</v>
      </c>
      <c r="P153" s="5">
        <v>45992.109027777798</v>
      </c>
      <c r="Q153" s="4">
        <v>1213</v>
      </c>
      <c r="R153" s="5">
        <v>45993.190277777801</v>
      </c>
    </row>
    <row r="154" spans="1:18" x14ac:dyDescent="0.3">
      <c r="A154" s="3"/>
      <c r="B154" s="3"/>
      <c r="C154" s="3"/>
      <c r="D154" s="3">
        <v>153</v>
      </c>
      <c r="E154" s="4">
        <v>15037</v>
      </c>
      <c r="F154" s="4">
        <v>1531</v>
      </c>
      <c r="G154" s="3" t="s">
        <v>16</v>
      </c>
      <c r="H154" s="3" t="s">
        <v>428</v>
      </c>
      <c r="I154" s="3" t="s">
        <v>427</v>
      </c>
      <c r="J154" s="3" t="s">
        <v>429</v>
      </c>
      <c r="K154" s="3" t="s">
        <v>429</v>
      </c>
      <c r="L154" s="3" t="s">
        <v>26</v>
      </c>
      <c r="M154" s="3" t="s">
        <v>31</v>
      </c>
      <c r="N154" s="3" t="s">
        <v>20</v>
      </c>
      <c r="O154" s="4">
        <v>1213</v>
      </c>
      <c r="P154" s="5">
        <v>45992.1159722222</v>
      </c>
      <c r="Q154" s="4">
        <v>1213</v>
      </c>
      <c r="R154" s="5">
        <v>45993.188888888901</v>
      </c>
    </row>
    <row r="155" spans="1:18" x14ac:dyDescent="0.3">
      <c r="A155" s="3"/>
      <c r="B155" s="3"/>
      <c r="C155" s="3"/>
      <c r="D155" s="3">
        <v>154</v>
      </c>
      <c r="E155" s="4">
        <v>15027</v>
      </c>
      <c r="F155" s="4">
        <v>1531</v>
      </c>
      <c r="G155" s="3" t="s">
        <v>16</v>
      </c>
      <c r="H155" s="3" t="s">
        <v>430</v>
      </c>
      <c r="I155" s="3" t="s">
        <v>430</v>
      </c>
      <c r="J155" s="3" t="s">
        <v>431</v>
      </c>
      <c r="K155" s="3" t="s">
        <v>431</v>
      </c>
      <c r="L155" s="3" t="s">
        <v>18</v>
      </c>
      <c r="M155" s="3" t="s">
        <v>23</v>
      </c>
      <c r="N155" s="3" t="s">
        <v>20</v>
      </c>
      <c r="O155" s="4">
        <v>1213</v>
      </c>
      <c r="P155" s="5">
        <v>45992.108333333301</v>
      </c>
      <c r="Q155" s="4">
        <v>1213</v>
      </c>
      <c r="R155" s="5">
        <v>45993.189583333296</v>
      </c>
    </row>
    <row r="156" spans="1:18" x14ac:dyDescent="0.3">
      <c r="A156" s="3"/>
      <c r="B156" s="3"/>
      <c r="C156" s="3"/>
      <c r="D156" s="3">
        <v>155</v>
      </c>
      <c r="E156" s="4">
        <v>15034</v>
      </c>
      <c r="F156" s="4">
        <v>1531</v>
      </c>
      <c r="G156" s="3" t="s">
        <v>16</v>
      </c>
      <c r="H156" s="3" t="s">
        <v>432</v>
      </c>
      <c r="I156" s="3" t="s">
        <v>430</v>
      </c>
      <c r="J156" s="3" t="s">
        <v>433</v>
      </c>
      <c r="K156" s="3" t="s">
        <v>433</v>
      </c>
      <c r="L156" s="3" t="s">
        <v>26</v>
      </c>
      <c r="M156" s="3" t="s">
        <v>31</v>
      </c>
      <c r="N156" s="3" t="s">
        <v>20</v>
      </c>
      <c r="O156" s="4">
        <v>1213</v>
      </c>
      <c r="P156" s="5">
        <v>45992.114583333299</v>
      </c>
      <c r="Q156" s="4">
        <v>1213</v>
      </c>
      <c r="R156" s="5">
        <v>45993.186805555597</v>
      </c>
    </row>
    <row r="157" spans="1:18" x14ac:dyDescent="0.3">
      <c r="A157" s="3"/>
      <c r="B157" s="3"/>
      <c r="C157" s="3"/>
      <c r="D157" s="3">
        <v>156</v>
      </c>
      <c r="E157" s="4">
        <v>15029</v>
      </c>
      <c r="F157" s="4">
        <v>1531</v>
      </c>
      <c r="G157" s="3" t="s">
        <v>16</v>
      </c>
      <c r="H157" s="3" t="s">
        <v>434</v>
      </c>
      <c r="I157" s="3" t="s">
        <v>434</v>
      </c>
      <c r="J157" s="3" t="s">
        <v>435</v>
      </c>
      <c r="K157" s="3" t="s">
        <v>435</v>
      </c>
      <c r="L157" s="3" t="s">
        <v>18</v>
      </c>
      <c r="M157" s="3" t="s">
        <v>23</v>
      </c>
      <c r="N157" s="3" t="s">
        <v>20</v>
      </c>
      <c r="O157" s="4">
        <v>1213</v>
      </c>
      <c r="P157" s="5">
        <v>45992.108333333301</v>
      </c>
      <c r="Q157" s="4">
        <v>1213</v>
      </c>
      <c r="R157" s="5">
        <v>45993.189583333296</v>
      </c>
    </row>
    <row r="158" spans="1:18" x14ac:dyDescent="0.3">
      <c r="A158" s="3"/>
      <c r="B158" s="3"/>
      <c r="C158" s="3"/>
      <c r="D158" s="3">
        <v>157</v>
      </c>
      <c r="E158" s="4">
        <v>15036</v>
      </c>
      <c r="F158" s="4">
        <v>1531</v>
      </c>
      <c r="G158" s="3" t="s">
        <v>16</v>
      </c>
      <c r="H158" s="3" t="s">
        <v>436</v>
      </c>
      <c r="I158" s="3" t="s">
        <v>434</v>
      </c>
      <c r="J158" s="3" t="s">
        <v>437</v>
      </c>
      <c r="K158" s="3" t="s">
        <v>437</v>
      </c>
      <c r="L158" s="3" t="s">
        <v>26</v>
      </c>
      <c r="M158" s="3" t="s">
        <v>31</v>
      </c>
      <c r="N158" s="3" t="s">
        <v>20</v>
      </c>
      <c r="O158" s="4">
        <v>1213</v>
      </c>
      <c r="P158" s="5">
        <v>45992.115277777797</v>
      </c>
      <c r="Q158" s="4">
        <v>1213</v>
      </c>
      <c r="R158" s="5">
        <v>45993.188888888901</v>
      </c>
    </row>
    <row r="159" spans="1:18" x14ac:dyDescent="0.3">
      <c r="A159" s="3"/>
      <c r="B159" s="3"/>
      <c r="C159" s="3"/>
      <c r="D159" s="3">
        <v>158</v>
      </c>
      <c r="E159" s="4">
        <v>15025</v>
      </c>
      <c r="F159" s="4">
        <v>1531</v>
      </c>
      <c r="G159" s="3" t="s">
        <v>16</v>
      </c>
      <c r="H159" s="3" t="s">
        <v>438</v>
      </c>
      <c r="I159" s="3" t="s">
        <v>438</v>
      </c>
      <c r="J159" s="3" t="s">
        <v>439</v>
      </c>
      <c r="K159" s="3" t="s">
        <v>439</v>
      </c>
      <c r="L159" s="3" t="s">
        <v>18</v>
      </c>
      <c r="M159" s="3" t="s">
        <v>23</v>
      </c>
      <c r="N159" s="3" t="s">
        <v>20</v>
      </c>
      <c r="O159" s="4">
        <v>1213</v>
      </c>
      <c r="P159" s="5">
        <v>45992.107638888898</v>
      </c>
      <c r="Q159" s="4">
        <v>1213</v>
      </c>
      <c r="R159" s="5">
        <v>45993.189583333296</v>
      </c>
    </row>
    <row r="160" spans="1:18" x14ac:dyDescent="0.3">
      <c r="A160" s="3"/>
      <c r="B160" s="3"/>
      <c r="C160" s="3"/>
      <c r="D160" s="3">
        <v>159</v>
      </c>
      <c r="E160" s="4">
        <v>15032</v>
      </c>
      <c r="F160" s="4">
        <v>1531</v>
      </c>
      <c r="G160" s="3" t="s">
        <v>16</v>
      </c>
      <c r="H160" s="3" t="s">
        <v>440</v>
      </c>
      <c r="I160" s="3" t="s">
        <v>438</v>
      </c>
      <c r="J160" s="3" t="s">
        <v>441</v>
      </c>
      <c r="K160" s="3" t="s">
        <v>441</v>
      </c>
      <c r="L160" s="3" t="s">
        <v>26</v>
      </c>
      <c r="M160" s="3" t="s">
        <v>31</v>
      </c>
      <c r="N160" s="3" t="s">
        <v>20</v>
      </c>
      <c r="O160" s="4">
        <v>1213</v>
      </c>
      <c r="P160" s="5">
        <v>45992.114583333299</v>
      </c>
      <c r="Q160" s="4">
        <v>1213</v>
      </c>
      <c r="R160" s="5">
        <v>45993.186805555597</v>
      </c>
    </row>
    <row r="161" spans="1:18" x14ac:dyDescent="0.3">
      <c r="A161" s="3"/>
      <c r="B161" s="3"/>
      <c r="C161" s="3"/>
      <c r="D161" s="3">
        <v>160</v>
      </c>
      <c r="E161" s="4">
        <v>15028</v>
      </c>
      <c r="F161" s="4">
        <v>1531</v>
      </c>
      <c r="G161" s="3" t="s">
        <v>16</v>
      </c>
      <c r="H161" s="3" t="s">
        <v>442</v>
      </c>
      <c r="I161" s="3" t="s">
        <v>442</v>
      </c>
      <c r="J161" s="3" t="s">
        <v>443</v>
      </c>
      <c r="K161" s="3" t="s">
        <v>443</v>
      </c>
      <c r="L161" s="3" t="s">
        <v>18</v>
      </c>
      <c r="M161" s="3" t="s">
        <v>23</v>
      </c>
      <c r="N161" s="3" t="s">
        <v>20</v>
      </c>
      <c r="O161" s="4">
        <v>1213</v>
      </c>
      <c r="P161" s="5">
        <v>45992.108333333301</v>
      </c>
      <c r="Q161" s="4">
        <v>1213</v>
      </c>
      <c r="R161" s="5">
        <v>45993.189583333296</v>
      </c>
    </row>
    <row r="162" spans="1:18" x14ac:dyDescent="0.3">
      <c r="A162" s="3"/>
      <c r="B162" s="3"/>
      <c r="C162" s="3"/>
      <c r="D162" s="3">
        <v>161</v>
      </c>
      <c r="E162" s="4">
        <v>15035</v>
      </c>
      <c r="F162" s="4">
        <v>1531</v>
      </c>
      <c r="G162" s="3" t="s">
        <v>16</v>
      </c>
      <c r="H162" s="3" t="s">
        <v>444</v>
      </c>
      <c r="I162" s="3" t="s">
        <v>442</v>
      </c>
      <c r="J162" s="3" t="s">
        <v>445</v>
      </c>
      <c r="K162" s="3" t="s">
        <v>445</v>
      </c>
      <c r="L162" s="3" t="s">
        <v>26</v>
      </c>
      <c r="M162" s="3" t="s">
        <v>31</v>
      </c>
      <c r="N162" s="3" t="s">
        <v>20</v>
      </c>
      <c r="O162" s="4">
        <v>1213</v>
      </c>
      <c r="P162" s="5">
        <v>45992.115277777797</v>
      </c>
      <c r="Q162" s="4">
        <v>1213</v>
      </c>
      <c r="R162" s="5">
        <v>45993.188888888901</v>
      </c>
    </row>
    <row r="163" spans="1:18" x14ac:dyDescent="0.3">
      <c r="A163" s="3"/>
      <c r="B163" s="3"/>
      <c r="C163" s="3"/>
      <c r="D163" s="3">
        <v>162</v>
      </c>
      <c r="E163" s="4">
        <v>15024</v>
      </c>
      <c r="F163" s="4">
        <v>1531</v>
      </c>
      <c r="G163" s="3" t="s">
        <v>16</v>
      </c>
      <c r="H163" s="3" t="s">
        <v>446</v>
      </c>
      <c r="I163" s="3" t="s">
        <v>446</v>
      </c>
      <c r="J163" s="3" t="s">
        <v>447</v>
      </c>
      <c r="K163" s="3" t="s">
        <v>447</v>
      </c>
      <c r="L163" s="3" t="s">
        <v>18</v>
      </c>
      <c r="M163" s="3" t="s">
        <v>23</v>
      </c>
      <c r="N163" s="3" t="s">
        <v>20</v>
      </c>
      <c r="O163" s="4">
        <v>1213</v>
      </c>
      <c r="P163" s="5">
        <v>45992.107638888898</v>
      </c>
      <c r="Q163" s="4">
        <v>1213</v>
      </c>
      <c r="R163" s="5">
        <v>45993.189583333296</v>
      </c>
    </row>
    <row r="164" spans="1:18" x14ac:dyDescent="0.3">
      <c r="A164" s="3"/>
      <c r="B164" s="3"/>
      <c r="C164" s="3"/>
      <c r="D164" s="3">
        <v>163</v>
      </c>
      <c r="E164" s="4">
        <v>15031</v>
      </c>
      <c r="F164" s="4">
        <v>1531</v>
      </c>
      <c r="G164" s="3" t="s">
        <v>16</v>
      </c>
      <c r="H164" s="3" t="s">
        <v>448</v>
      </c>
      <c r="I164" s="3" t="s">
        <v>446</v>
      </c>
      <c r="J164" s="3" t="s">
        <v>449</v>
      </c>
      <c r="K164" s="3" t="s">
        <v>449</v>
      </c>
      <c r="L164" s="3" t="s">
        <v>26</v>
      </c>
      <c r="M164" s="3" t="s">
        <v>31</v>
      </c>
      <c r="N164" s="3" t="s">
        <v>20</v>
      </c>
      <c r="O164" s="4">
        <v>1213</v>
      </c>
      <c r="P164" s="5">
        <v>45992.113888888904</v>
      </c>
      <c r="Q164" s="4">
        <v>1213</v>
      </c>
      <c r="R164" s="5">
        <v>45993.186805555597</v>
      </c>
    </row>
    <row r="165" spans="1:18" x14ac:dyDescent="0.3">
      <c r="A165" s="3"/>
      <c r="B165" s="3"/>
      <c r="C165" s="3"/>
      <c r="D165" s="3">
        <v>164</v>
      </c>
      <c r="E165" s="4">
        <v>14982</v>
      </c>
      <c r="F165" s="4">
        <v>1531</v>
      </c>
      <c r="G165" s="3" t="s">
        <v>16</v>
      </c>
      <c r="H165" s="3" t="s">
        <v>450</v>
      </c>
      <c r="I165" s="3" t="s">
        <v>451</v>
      </c>
      <c r="J165" s="3" t="s">
        <v>452</v>
      </c>
      <c r="K165" s="3" t="s">
        <v>452</v>
      </c>
      <c r="L165" s="3" t="s">
        <v>26</v>
      </c>
      <c r="M165" s="3" t="s">
        <v>31</v>
      </c>
      <c r="N165" s="3" t="s">
        <v>20</v>
      </c>
      <c r="O165" s="4">
        <v>1213</v>
      </c>
      <c r="P165" s="5">
        <v>45968.186805555597</v>
      </c>
      <c r="Q165" s="4">
        <v>-1</v>
      </c>
      <c r="R165" s="5">
        <v>45968.186805555597</v>
      </c>
    </row>
    <row r="166" spans="1:18" x14ac:dyDescent="0.3">
      <c r="A166" s="3"/>
      <c r="B166" s="3"/>
      <c r="C166" s="3"/>
      <c r="D166" s="3">
        <v>165</v>
      </c>
      <c r="E166" s="4">
        <v>15026</v>
      </c>
      <c r="F166" s="4">
        <v>1531</v>
      </c>
      <c r="G166" s="3" t="s">
        <v>16</v>
      </c>
      <c r="H166" s="3" t="s">
        <v>453</v>
      </c>
      <c r="I166" s="3" t="s">
        <v>453</v>
      </c>
      <c r="J166" s="3" t="s">
        <v>454</v>
      </c>
      <c r="K166" s="3" t="s">
        <v>454</v>
      </c>
      <c r="L166" s="3" t="s">
        <v>18</v>
      </c>
      <c r="M166" s="3" t="s">
        <v>23</v>
      </c>
      <c r="N166" s="3" t="s">
        <v>20</v>
      </c>
      <c r="O166" s="4">
        <v>1213</v>
      </c>
      <c r="P166" s="5">
        <v>45992.108333333301</v>
      </c>
      <c r="Q166" s="4">
        <v>1213</v>
      </c>
      <c r="R166" s="5">
        <v>45993.189583333296</v>
      </c>
    </row>
    <row r="167" spans="1:18" x14ac:dyDescent="0.3">
      <c r="A167" s="3"/>
      <c r="B167" s="3"/>
      <c r="C167" s="3"/>
      <c r="D167" s="3">
        <v>166</v>
      </c>
      <c r="E167" s="4">
        <v>15033</v>
      </c>
      <c r="F167" s="4">
        <v>1531</v>
      </c>
      <c r="G167" s="3" t="s">
        <v>16</v>
      </c>
      <c r="H167" s="3" t="s">
        <v>455</v>
      </c>
      <c r="I167" s="3" t="s">
        <v>453</v>
      </c>
      <c r="J167" s="3" t="s">
        <v>456</v>
      </c>
      <c r="K167" s="3" t="s">
        <v>456</v>
      </c>
      <c r="L167" s="3" t="s">
        <v>26</v>
      </c>
      <c r="M167" s="3" t="s">
        <v>31</v>
      </c>
      <c r="N167" s="3" t="s">
        <v>20</v>
      </c>
      <c r="O167" s="4">
        <v>1213</v>
      </c>
      <c r="P167" s="5">
        <v>45992.114583333299</v>
      </c>
      <c r="Q167" s="4">
        <v>1213</v>
      </c>
      <c r="R167" s="5">
        <v>45993.186805555597</v>
      </c>
    </row>
    <row r="168" spans="1:18" x14ac:dyDescent="0.3">
      <c r="A168" s="3"/>
      <c r="B168" s="3"/>
      <c r="C168" s="3"/>
      <c r="D168" s="3">
        <v>167</v>
      </c>
      <c r="E168" s="4">
        <v>14979</v>
      </c>
      <c r="F168" s="4">
        <v>1531</v>
      </c>
      <c r="G168" s="3" t="s">
        <v>16</v>
      </c>
      <c r="H168" s="3" t="s">
        <v>457</v>
      </c>
      <c r="I168" s="3" t="s">
        <v>458</v>
      </c>
      <c r="J168" s="3" t="s">
        <v>459</v>
      </c>
      <c r="K168" s="3" t="s">
        <v>459</v>
      </c>
      <c r="L168" s="3" t="s">
        <v>26</v>
      </c>
      <c r="M168" s="3" t="s">
        <v>31</v>
      </c>
      <c r="N168" s="3" t="s">
        <v>20</v>
      </c>
      <c r="O168" s="4">
        <v>1213</v>
      </c>
      <c r="P168" s="5">
        <v>45968.166666666701</v>
      </c>
      <c r="Q168" s="4">
        <v>1213</v>
      </c>
      <c r="R168" s="5">
        <v>45993.186111111099</v>
      </c>
    </row>
    <row r="169" spans="1:18" x14ac:dyDescent="0.3">
      <c r="A169" s="3"/>
      <c r="B169" s="3"/>
      <c r="C169" s="3"/>
      <c r="D169" s="3">
        <v>168</v>
      </c>
      <c r="E169" s="4">
        <v>15021</v>
      </c>
      <c r="F169" s="4">
        <v>1531</v>
      </c>
      <c r="G169" s="3" t="s">
        <v>16</v>
      </c>
      <c r="H169" s="3" t="s">
        <v>458</v>
      </c>
      <c r="I169" s="3" t="s">
        <v>458</v>
      </c>
      <c r="J169" s="3" t="s">
        <v>460</v>
      </c>
      <c r="K169" s="3" t="s">
        <v>461</v>
      </c>
      <c r="L169" s="3" t="s">
        <v>18</v>
      </c>
      <c r="M169" s="3" t="s">
        <v>23</v>
      </c>
      <c r="N169" s="3" t="s">
        <v>20</v>
      </c>
      <c r="O169" s="4">
        <v>1213</v>
      </c>
      <c r="P169" s="5">
        <v>45992.1069444444</v>
      </c>
      <c r="Q169" s="4">
        <v>1213</v>
      </c>
      <c r="R169" s="5">
        <v>45993.188888888901</v>
      </c>
    </row>
    <row r="170" spans="1:18" x14ac:dyDescent="0.3">
      <c r="A170" s="3"/>
      <c r="B170" s="3"/>
      <c r="C170" s="3"/>
      <c r="D170" s="3">
        <v>169</v>
      </c>
      <c r="E170" s="4">
        <v>14981</v>
      </c>
      <c r="F170" s="4">
        <v>1531</v>
      </c>
      <c r="G170" s="3" t="s">
        <v>16</v>
      </c>
      <c r="H170" s="3" t="s">
        <v>462</v>
      </c>
      <c r="I170" s="3" t="s">
        <v>463</v>
      </c>
      <c r="J170" s="3" t="s">
        <v>464</v>
      </c>
      <c r="K170" s="3" t="s">
        <v>464</v>
      </c>
      <c r="L170" s="3" t="s">
        <v>26</v>
      </c>
      <c r="M170" s="3" t="s">
        <v>31</v>
      </c>
      <c r="N170" s="3" t="s">
        <v>20</v>
      </c>
      <c r="O170" s="4">
        <v>1213</v>
      </c>
      <c r="P170" s="5">
        <v>45968.186805555597</v>
      </c>
      <c r="Q170" s="4">
        <v>1213</v>
      </c>
      <c r="R170" s="5">
        <v>45993.186111111099</v>
      </c>
    </row>
    <row r="171" spans="1:18" x14ac:dyDescent="0.3">
      <c r="A171" s="3"/>
      <c r="B171" s="3"/>
      <c r="C171" s="3"/>
      <c r="D171" s="3">
        <v>170</v>
      </c>
      <c r="E171" s="4">
        <v>15023</v>
      </c>
      <c r="F171" s="4">
        <v>1531</v>
      </c>
      <c r="G171" s="3" t="s">
        <v>16</v>
      </c>
      <c r="H171" s="3" t="s">
        <v>463</v>
      </c>
      <c r="I171" s="3" t="s">
        <v>463</v>
      </c>
      <c r="J171" s="3" t="s">
        <v>413</v>
      </c>
      <c r="K171" s="3" t="s">
        <v>413</v>
      </c>
      <c r="L171" s="3" t="s">
        <v>18</v>
      </c>
      <c r="M171" s="3" t="s">
        <v>23</v>
      </c>
      <c r="N171" s="3" t="s">
        <v>20</v>
      </c>
      <c r="O171" s="4">
        <v>1213</v>
      </c>
      <c r="P171" s="5">
        <v>45992.1069444444</v>
      </c>
      <c r="Q171" s="4">
        <v>1213</v>
      </c>
      <c r="R171" s="5">
        <v>45993.189583333296</v>
      </c>
    </row>
    <row r="172" spans="1:18" x14ac:dyDescent="0.3">
      <c r="D172">
        <v>171</v>
      </c>
    </row>
  </sheetData>
  <autoFilter ref="A1:R172" xr:uid="{00000000-0001-0000-0000-000000000000}">
    <filterColumn colId="1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3E0B-DCFA-47C2-82AE-71A3E19D8F93}">
  <dimension ref="A1:S114"/>
  <sheetViews>
    <sheetView tabSelected="1" workbookViewId="0">
      <pane xSplit="7" ySplit="1" topLeftCell="H23" activePane="bottomRight" state="frozen"/>
      <selection pane="topRight" activeCell="H1" sqref="H1"/>
      <selection pane="bottomLeft" activeCell="A2" sqref="A2"/>
      <selection pane="bottomRight" activeCell="K29" sqref="K29"/>
    </sheetView>
  </sheetViews>
  <sheetFormatPr defaultRowHeight="14.4" x14ac:dyDescent="0.3"/>
  <cols>
    <col min="1" max="1" width="16" bestFit="1" customWidth="1"/>
    <col min="2" max="2" width="6.6640625" bestFit="1" customWidth="1"/>
    <col min="3" max="3" width="9.109375" bestFit="1" customWidth="1"/>
    <col min="4" max="4" width="4" bestFit="1" customWidth="1"/>
    <col min="5" max="5" width="6" bestFit="1" customWidth="1"/>
    <col min="6" max="6" width="8.21875" bestFit="1" customWidth="1"/>
    <col min="7" max="7" width="7.77734375" bestFit="1" customWidth="1"/>
    <col min="8" max="8" width="26" style="13" bestFit="1" customWidth="1"/>
    <col min="9" max="9" width="26" customWidth="1"/>
    <col min="10" max="10" width="24.5546875" bestFit="1" customWidth="1"/>
    <col min="11" max="12" width="57.33203125" bestFit="1" customWidth="1"/>
    <col min="13" max="13" width="11.88671875" bestFit="1" customWidth="1"/>
    <col min="14" max="14" width="95.6640625" bestFit="1" customWidth="1"/>
    <col min="15" max="15" width="7.44140625" bestFit="1" customWidth="1"/>
    <col min="16" max="16" width="8.5546875" bestFit="1" customWidth="1"/>
    <col min="17" max="17" width="21.6640625" bestFit="1" customWidth="1"/>
    <col min="18" max="18" width="9" bestFit="1" customWidth="1"/>
    <col min="19" max="19" width="21.6640625" bestFit="1" customWidth="1"/>
  </cols>
  <sheetData>
    <row r="1" spans="1:19" ht="57.6" x14ac:dyDescent="0.3">
      <c r="A1" s="6" t="s">
        <v>0</v>
      </c>
      <c r="B1" s="6" t="s">
        <v>466</v>
      </c>
      <c r="C1" s="6" t="s">
        <v>467</v>
      </c>
      <c r="D1" s="6" t="s">
        <v>651</v>
      </c>
      <c r="E1" s="6" t="s">
        <v>1</v>
      </c>
      <c r="F1" s="6" t="s">
        <v>2</v>
      </c>
      <c r="G1" s="6" t="s">
        <v>3</v>
      </c>
      <c r="H1" s="12" t="s">
        <v>4</v>
      </c>
      <c r="I1" s="6"/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</row>
    <row r="2" spans="1:19" x14ac:dyDescent="0.3">
      <c r="A2" s="3" t="s">
        <v>15</v>
      </c>
      <c r="B2" s="3"/>
      <c r="C2" s="3"/>
      <c r="D2" s="3" cm="1">
        <f t="array" ref="D2:D112">_xlfn.SEQUENCE(COUNTA(E:E))</f>
        <v>1</v>
      </c>
      <c r="E2" s="4">
        <v>14996</v>
      </c>
      <c r="F2" s="4">
        <v>1524</v>
      </c>
      <c r="G2" s="3" t="s">
        <v>16</v>
      </c>
      <c r="H2" s="8" t="s">
        <v>15</v>
      </c>
      <c r="I2" s="3" t="str">
        <f>_xlfn.CONCAT("'",H2,"'")</f>
        <v>'TCDoc'</v>
      </c>
      <c r="J2" s="8" t="s">
        <v>15</v>
      </c>
      <c r="K2" s="3" t="s">
        <v>17</v>
      </c>
      <c r="L2" s="3" t="s">
        <v>17</v>
      </c>
      <c r="M2" s="3" t="s">
        <v>18</v>
      </c>
      <c r="N2" s="3" t="s">
        <v>19</v>
      </c>
      <c r="O2" s="3" t="s">
        <v>20</v>
      </c>
      <c r="P2" s="4">
        <v>1213</v>
      </c>
      <c r="Q2" s="5">
        <v>45978.247916666704</v>
      </c>
      <c r="R2" s="4">
        <v>-1</v>
      </c>
      <c r="S2" s="5">
        <v>45978.247916666704</v>
      </c>
    </row>
    <row r="3" spans="1:19" x14ac:dyDescent="0.3">
      <c r="A3" s="3" t="s">
        <v>21</v>
      </c>
      <c r="B3" s="3"/>
      <c r="C3" s="3"/>
      <c r="D3" s="3">
        <v>2</v>
      </c>
      <c r="E3" s="4">
        <v>15241</v>
      </c>
      <c r="F3" s="4">
        <v>1528</v>
      </c>
      <c r="G3" s="3" t="s">
        <v>16</v>
      </c>
      <c r="H3" s="8" t="s">
        <v>21</v>
      </c>
      <c r="I3" s="3" t="str">
        <f t="shared" ref="I3:I11" si="0">_xlfn.CONCAT("'",H3,"'")</f>
        <v>'TAXPLAN'</v>
      </c>
      <c r="J3" s="8" t="s">
        <v>21</v>
      </c>
      <c r="K3" s="3" t="s">
        <v>22</v>
      </c>
      <c r="L3" s="3" t="s">
        <v>22</v>
      </c>
      <c r="M3" s="3" t="s">
        <v>18</v>
      </c>
      <c r="N3" s="3" t="s">
        <v>23</v>
      </c>
      <c r="O3" s="3" t="s">
        <v>20</v>
      </c>
      <c r="P3" s="4">
        <v>1213</v>
      </c>
      <c r="Q3" s="5">
        <v>46088.0444444444</v>
      </c>
      <c r="R3" s="4">
        <v>1213</v>
      </c>
      <c r="S3" s="5">
        <v>46088.056250000001</v>
      </c>
    </row>
    <row r="4" spans="1:19" x14ac:dyDescent="0.3">
      <c r="A4" s="3" t="s">
        <v>24</v>
      </c>
      <c r="B4" s="3"/>
      <c r="C4" s="3"/>
      <c r="D4" s="3">
        <v>3</v>
      </c>
      <c r="E4" s="4">
        <v>14997</v>
      </c>
      <c r="F4" s="4">
        <v>1524</v>
      </c>
      <c r="G4" s="3" t="s">
        <v>16</v>
      </c>
      <c r="H4" s="8" t="s">
        <v>24</v>
      </c>
      <c r="I4" s="3" t="str">
        <f t="shared" si="0"/>
        <v>'EDIT_TCDoc'</v>
      </c>
      <c r="J4" s="8" t="s">
        <v>15</v>
      </c>
      <c r="K4" s="3" t="s">
        <v>25</v>
      </c>
      <c r="L4" s="3" t="s">
        <v>25</v>
      </c>
      <c r="M4" s="3" t="s">
        <v>26</v>
      </c>
      <c r="N4" s="3" t="s">
        <v>27</v>
      </c>
      <c r="O4" s="3" t="s">
        <v>20</v>
      </c>
      <c r="P4" s="4">
        <v>1213</v>
      </c>
      <c r="Q4" s="5">
        <v>45978.247916666704</v>
      </c>
      <c r="R4" s="4">
        <v>-1</v>
      </c>
      <c r="S4" s="5">
        <v>45978.247916666704</v>
      </c>
    </row>
    <row r="5" spans="1:19" x14ac:dyDescent="0.3">
      <c r="A5" s="3" t="s">
        <v>28</v>
      </c>
      <c r="B5" s="3"/>
      <c r="C5" s="3"/>
      <c r="D5" s="3">
        <v>4</v>
      </c>
      <c r="E5" s="4">
        <v>15242</v>
      </c>
      <c r="F5" s="4">
        <v>1528</v>
      </c>
      <c r="G5" s="3" t="s">
        <v>16</v>
      </c>
      <c r="H5" s="8" t="s">
        <v>28</v>
      </c>
      <c r="I5" s="3" t="str">
        <f t="shared" si="0"/>
        <v>'EDIT_TAXPLAN'</v>
      </c>
      <c r="J5" s="8" t="s">
        <v>21</v>
      </c>
      <c r="K5" s="3" t="s">
        <v>29</v>
      </c>
      <c r="L5" s="3" t="s">
        <v>30</v>
      </c>
      <c r="M5" s="3" t="s">
        <v>26</v>
      </c>
      <c r="N5" s="3" t="s">
        <v>31</v>
      </c>
      <c r="O5" s="3" t="s">
        <v>20</v>
      </c>
      <c r="P5" s="4">
        <v>1213</v>
      </c>
      <c r="Q5" s="5">
        <v>46088.045138888898</v>
      </c>
      <c r="R5" s="4">
        <v>1213</v>
      </c>
      <c r="S5" s="5">
        <v>46088.056944444397</v>
      </c>
    </row>
    <row r="6" spans="1:19" x14ac:dyDescent="0.3">
      <c r="A6" s="3" t="s">
        <v>32</v>
      </c>
      <c r="B6" s="3"/>
      <c r="C6" s="3"/>
      <c r="D6" s="3">
        <v>5</v>
      </c>
      <c r="E6" s="4">
        <v>15282</v>
      </c>
      <c r="F6" s="4">
        <v>1586</v>
      </c>
      <c r="G6" s="3" t="s">
        <v>16</v>
      </c>
      <c r="H6" s="8" t="s">
        <v>32</v>
      </c>
      <c r="I6" s="3" t="str">
        <f t="shared" si="0"/>
        <v>'DEF_TAXEXPORT0'</v>
      </c>
      <c r="J6" s="8" t="s">
        <v>32</v>
      </c>
      <c r="K6" s="3" t="s">
        <v>33</v>
      </c>
      <c r="L6" s="3" t="s">
        <v>33</v>
      </c>
      <c r="M6" s="3" t="s">
        <v>26</v>
      </c>
      <c r="N6" s="3" t="s">
        <v>34</v>
      </c>
      <c r="O6" s="3" t="b">
        <v>0</v>
      </c>
      <c r="P6" s="4">
        <v>1213</v>
      </c>
      <c r="Q6" s="5">
        <v>46100.331944444399</v>
      </c>
      <c r="R6" s="4">
        <v>1213</v>
      </c>
      <c r="S6" s="5">
        <v>46101.2277777778</v>
      </c>
    </row>
    <row r="7" spans="1:19" x14ac:dyDescent="0.3">
      <c r="A7" s="3"/>
      <c r="B7" s="3"/>
      <c r="C7" s="3"/>
      <c r="D7" s="3">
        <v>6</v>
      </c>
      <c r="E7" s="4">
        <v>14912</v>
      </c>
      <c r="F7" s="4">
        <v>1529</v>
      </c>
      <c r="G7" s="3" t="s">
        <v>16</v>
      </c>
      <c r="H7" s="8" t="s">
        <v>39</v>
      </c>
      <c r="I7" s="3" t="str">
        <f t="shared" si="0"/>
        <v>'AssetFuture'</v>
      </c>
      <c r="J7" s="8" t="s">
        <v>39</v>
      </c>
      <c r="K7" s="3" t="s">
        <v>40</v>
      </c>
      <c r="L7" s="3" t="s">
        <v>41</v>
      </c>
      <c r="M7" s="3" t="s">
        <v>18</v>
      </c>
      <c r="N7" s="3" t="s">
        <v>42</v>
      </c>
      <c r="O7" s="3" t="s">
        <v>20</v>
      </c>
      <c r="P7" s="4">
        <v>1213</v>
      </c>
      <c r="Q7" s="5">
        <v>45943.214583333298</v>
      </c>
      <c r="R7" s="4">
        <v>-1</v>
      </c>
      <c r="S7" s="5">
        <v>45943.214583333298</v>
      </c>
    </row>
    <row r="8" spans="1:19" x14ac:dyDescent="0.3">
      <c r="A8" s="3"/>
      <c r="B8" s="3"/>
      <c r="C8" s="3"/>
      <c r="D8" s="3">
        <v>7</v>
      </c>
      <c r="E8" s="4">
        <v>14913</v>
      </c>
      <c r="F8" s="4">
        <v>1529</v>
      </c>
      <c r="G8" s="3" t="s">
        <v>16</v>
      </c>
      <c r="H8" s="8" t="s">
        <v>43</v>
      </c>
      <c r="I8" s="3" t="str">
        <f t="shared" si="0"/>
        <v>'EDIT_AssetFuture'</v>
      </c>
      <c r="J8" s="8" t="s">
        <v>39</v>
      </c>
      <c r="K8" s="3" t="s">
        <v>44</v>
      </c>
      <c r="L8" s="3" t="s">
        <v>45</v>
      </c>
      <c r="M8" s="3" t="s">
        <v>26</v>
      </c>
      <c r="N8" s="3" t="s">
        <v>46</v>
      </c>
      <c r="O8" s="3" t="s">
        <v>20</v>
      </c>
      <c r="P8" s="4">
        <v>1213</v>
      </c>
      <c r="Q8" s="5">
        <v>45943.214583333298</v>
      </c>
      <c r="R8" s="4">
        <v>-1</v>
      </c>
      <c r="S8" s="5">
        <v>45943.214583333298</v>
      </c>
    </row>
    <row r="9" spans="1:19" x14ac:dyDescent="0.3">
      <c r="A9" s="3"/>
      <c r="B9" s="3"/>
      <c r="C9" s="3"/>
      <c r="D9" s="3">
        <v>8</v>
      </c>
      <c r="E9" s="4">
        <v>15197</v>
      </c>
      <c r="F9" s="4">
        <v>1529</v>
      </c>
      <c r="G9" s="3" t="s">
        <v>16</v>
      </c>
      <c r="H9" s="8" t="s">
        <v>60</v>
      </c>
      <c r="I9" s="3" t="str">
        <f t="shared" si="0"/>
        <v>'EDIT_AssetMonthDepr'</v>
      </c>
      <c r="J9" s="8" t="s">
        <v>61</v>
      </c>
      <c r="K9" s="3" t="s">
        <v>62</v>
      </c>
      <c r="L9" s="3" t="s">
        <v>45</v>
      </c>
      <c r="M9" s="3" t="s">
        <v>26</v>
      </c>
      <c r="N9" s="3" t="s">
        <v>31</v>
      </c>
      <c r="O9" s="3" t="s">
        <v>20</v>
      </c>
      <c r="P9" s="4">
        <v>1213</v>
      </c>
      <c r="Q9" s="5">
        <v>46066.162499999999</v>
      </c>
      <c r="R9" s="4">
        <v>1213</v>
      </c>
      <c r="S9" s="5">
        <v>46066.184027777803</v>
      </c>
    </row>
    <row r="10" spans="1:19" x14ac:dyDescent="0.3">
      <c r="A10" s="3"/>
      <c r="B10" s="3"/>
      <c r="C10" s="3"/>
      <c r="D10" s="3">
        <v>9</v>
      </c>
      <c r="E10" s="4">
        <v>15199</v>
      </c>
      <c r="F10" s="4">
        <v>1531</v>
      </c>
      <c r="G10" s="3" t="s">
        <v>16</v>
      </c>
      <c r="H10" s="8" t="s">
        <v>61</v>
      </c>
      <c r="I10" s="3" t="str">
        <f t="shared" si="0"/>
        <v>'AssetMonthDepr'</v>
      </c>
      <c r="J10" s="8" t="s">
        <v>61</v>
      </c>
      <c r="K10" s="3" t="s">
        <v>63</v>
      </c>
      <c r="L10" s="3" t="s">
        <v>63</v>
      </c>
      <c r="M10" s="3" t="s">
        <v>18</v>
      </c>
      <c r="N10" s="3" t="s">
        <v>23</v>
      </c>
      <c r="O10" s="3" t="s">
        <v>20</v>
      </c>
      <c r="P10" s="4">
        <v>1213</v>
      </c>
      <c r="Q10" s="5">
        <v>46066.186805555597</v>
      </c>
      <c r="R10" s="4">
        <v>-1</v>
      </c>
      <c r="S10" s="5">
        <v>46066.186805555597</v>
      </c>
    </row>
    <row r="11" spans="1:19" x14ac:dyDescent="0.3">
      <c r="A11" s="3"/>
      <c r="B11" s="3"/>
      <c r="C11" s="3"/>
      <c r="D11" s="3">
        <v>10</v>
      </c>
      <c r="E11" s="4">
        <v>15198</v>
      </c>
      <c r="F11" s="4">
        <v>-1</v>
      </c>
      <c r="G11" s="3" t="s">
        <v>16</v>
      </c>
      <c r="H11" s="8" t="s">
        <v>64</v>
      </c>
      <c r="I11" s="3" t="str">
        <f t="shared" si="0"/>
        <v>'EDIT_AssetMonthDepr_CCDC'</v>
      </c>
      <c r="J11" s="8" t="s">
        <v>65</v>
      </c>
      <c r="K11" s="3" t="s">
        <v>66</v>
      </c>
      <c r="L11" s="3" t="s">
        <v>58</v>
      </c>
      <c r="M11" s="3" t="s">
        <v>26</v>
      </c>
      <c r="N11" s="3" t="s">
        <v>59</v>
      </c>
      <c r="O11" s="3" t="s">
        <v>20</v>
      </c>
      <c r="P11" s="4">
        <v>1213</v>
      </c>
      <c r="Q11" s="5">
        <v>46066.177083333299</v>
      </c>
      <c r="R11" s="4">
        <v>-1</v>
      </c>
      <c r="S11" s="5">
        <v>46066.177083333299</v>
      </c>
    </row>
    <row r="12" spans="1:19" ht="129.6" x14ac:dyDescent="0.3">
      <c r="A12" s="10" t="s">
        <v>652</v>
      </c>
      <c r="B12" s="3"/>
      <c r="C12" s="3"/>
      <c r="D12" s="3">
        <v>11</v>
      </c>
      <c r="E12" s="9"/>
      <c r="F12" s="9"/>
      <c r="G12" s="8"/>
      <c r="H12" s="11" t="str">
        <f>_xlfn.TEXTJOIN(",",TRUE,H2:H11)</f>
        <v>TCDoc,TAXPLAN,EDIT_TCDoc,EDIT_TAXPLAN,DEF_TAXEXPORT0,AssetFuture,EDIT_AssetFuture,EDIT_AssetMonthDepr,AssetMonthDepr,EDIT_AssetMonthDepr_CCDC</v>
      </c>
      <c r="I12" s="11" t="str">
        <f>_xlfn.TEXTJOIN(",",TRUE,I2:I11)</f>
        <v>'TCDoc','TAXPLAN','EDIT_TCDoc','EDIT_TAXPLAN','DEF_TAXEXPORT0','AssetFuture','EDIT_AssetFuture','EDIT_AssetMonthDepr','AssetMonthDepr','EDIT_AssetMonthDepr_CCDC'</v>
      </c>
      <c r="J12" s="11" t="str">
        <f>_xlfn.TEXTJOIN(" ",TRUE,H2:H11)</f>
        <v>TCDoc TAXPLAN EDIT_TCDoc EDIT_TAXPLAN DEF_TAXEXPORT0 AssetFuture EDIT_AssetFuture EDIT_AssetMonthDepr AssetMonthDepr EDIT_AssetMonthDepr_CCDC</v>
      </c>
      <c r="K12" s="3"/>
      <c r="L12" s="3"/>
      <c r="M12" s="3"/>
      <c r="N12" s="3"/>
      <c r="O12" s="3"/>
      <c r="P12" s="4"/>
      <c r="Q12" s="5"/>
      <c r="R12" s="4"/>
      <c r="S12" s="5"/>
    </row>
    <row r="13" spans="1:19" x14ac:dyDescent="0.3">
      <c r="A13" s="3"/>
      <c r="B13" s="3"/>
      <c r="C13" s="3"/>
      <c r="D13" s="3">
        <v>12</v>
      </c>
      <c r="E13" s="4">
        <v>15274</v>
      </c>
      <c r="F13" s="4">
        <v>1524</v>
      </c>
      <c r="G13" s="3" t="s">
        <v>16</v>
      </c>
      <c r="H13" s="8" t="s">
        <v>71</v>
      </c>
      <c r="I13" s="3"/>
      <c r="J13" s="3" t="s">
        <v>72</v>
      </c>
      <c r="K13" s="3" t="s">
        <v>73</v>
      </c>
      <c r="L13" s="3" t="s">
        <v>74</v>
      </c>
      <c r="M13" s="3" t="s">
        <v>26</v>
      </c>
      <c r="N13" s="3" t="s">
        <v>75</v>
      </c>
      <c r="O13" s="3" t="s">
        <v>20</v>
      </c>
      <c r="P13" s="4">
        <v>1213</v>
      </c>
      <c r="Q13" s="5">
        <v>46096.101388888899</v>
      </c>
      <c r="R13" s="4">
        <v>-1</v>
      </c>
      <c r="S13" s="5">
        <v>46096.101388888899</v>
      </c>
    </row>
    <row r="14" spans="1:19" x14ac:dyDescent="0.3">
      <c r="A14" s="3"/>
      <c r="B14" s="3"/>
      <c r="C14" s="3"/>
      <c r="D14" s="3">
        <v>13</v>
      </c>
      <c r="E14" s="4">
        <v>15275</v>
      </c>
      <c r="F14" s="4">
        <v>1592</v>
      </c>
      <c r="G14" s="3" t="s">
        <v>16</v>
      </c>
      <c r="H14" s="8" t="s">
        <v>72</v>
      </c>
      <c r="I14" s="3"/>
      <c r="J14" s="3" t="s">
        <v>72</v>
      </c>
      <c r="K14" s="3" t="s">
        <v>76</v>
      </c>
      <c r="L14" s="3" t="s">
        <v>77</v>
      </c>
      <c r="M14" s="3" t="s">
        <v>18</v>
      </c>
      <c r="N14" s="3" t="s">
        <v>78</v>
      </c>
      <c r="O14" s="3" t="s">
        <v>20</v>
      </c>
      <c r="P14" s="4">
        <v>1213</v>
      </c>
      <c r="Q14" s="5">
        <v>46096.101388888899</v>
      </c>
      <c r="R14" s="4">
        <v>1212</v>
      </c>
      <c r="S14" s="5">
        <v>46118.1430555556</v>
      </c>
    </row>
    <row r="15" spans="1:19" x14ac:dyDescent="0.3">
      <c r="A15" s="3"/>
      <c r="B15" s="3"/>
      <c r="C15" s="3"/>
      <c r="D15" s="3">
        <v>14</v>
      </c>
      <c r="E15" s="4">
        <v>15276</v>
      </c>
      <c r="F15" s="4">
        <v>1592</v>
      </c>
      <c r="G15" s="3" t="s">
        <v>16</v>
      </c>
      <c r="H15" s="8" t="s">
        <v>79</v>
      </c>
      <c r="I15" s="3"/>
      <c r="J15" s="3" t="s">
        <v>79</v>
      </c>
      <c r="K15" s="3" t="s">
        <v>80</v>
      </c>
      <c r="L15" s="3" t="s">
        <v>81</v>
      </c>
      <c r="M15" s="3" t="s">
        <v>18</v>
      </c>
      <c r="N15" s="3" t="s">
        <v>82</v>
      </c>
      <c r="O15" s="3" t="s">
        <v>20</v>
      </c>
      <c r="P15" s="4">
        <v>1213</v>
      </c>
      <c r="Q15" s="5">
        <v>46097.100694444402</v>
      </c>
      <c r="R15" s="4">
        <v>1213</v>
      </c>
      <c r="S15" s="5">
        <v>46098.629166666702</v>
      </c>
    </row>
    <row r="16" spans="1:19" x14ac:dyDescent="0.3">
      <c r="A16" s="3"/>
      <c r="B16" s="3"/>
      <c r="C16" s="3"/>
      <c r="D16" s="3">
        <v>15</v>
      </c>
      <c r="E16" s="4">
        <v>15277</v>
      </c>
      <c r="F16" s="4">
        <v>1524</v>
      </c>
      <c r="G16" s="3" t="s">
        <v>16</v>
      </c>
      <c r="H16" s="8" t="s">
        <v>83</v>
      </c>
      <c r="I16" s="3"/>
      <c r="J16" s="3" t="s">
        <v>79</v>
      </c>
      <c r="K16" s="3" t="s">
        <v>84</v>
      </c>
      <c r="L16" s="3" t="s">
        <v>74</v>
      </c>
      <c r="M16" s="3" t="s">
        <v>26</v>
      </c>
      <c r="N16" s="3" t="s">
        <v>75</v>
      </c>
      <c r="O16" s="3" t="s">
        <v>20</v>
      </c>
      <c r="P16" s="4">
        <v>1213</v>
      </c>
      <c r="Q16" s="5">
        <v>46097.124305555597</v>
      </c>
      <c r="R16" s="4">
        <v>1213</v>
      </c>
      <c r="S16" s="5">
        <v>46098.629166666702</v>
      </c>
    </row>
    <row r="17" spans="1:19" x14ac:dyDescent="0.3">
      <c r="A17" s="3"/>
      <c r="B17" s="3"/>
      <c r="C17" s="3"/>
      <c r="D17" s="3">
        <v>16</v>
      </c>
      <c r="E17" s="4">
        <v>15386</v>
      </c>
      <c r="F17" s="4">
        <v>6217</v>
      </c>
      <c r="G17" s="3" t="s">
        <v>16</v>
      </c>
      <c r="H17" s="8" t="s">
        <v>85</v>
      </c>
      <c r="I17" s="3"/>
      <c r="J17" s="3" t="s">
        <v>85</v>
      </c>
      <c r="K17" s="3" t="s">
        <v>86</v>
      </c>
      <c r="L17" s="3" t="s">
        <v>86</v>
      </c>
      <c r="M17" s="3" t="s">
        <v>18</v>
      </c>
      <c r="N17" s="3" t="s">
        <v>87</v>
      </c>
      <c r="O17" s="3" t="s">
        <v>20</v>
      </c>
      <c r="P17" s="4">
        <v>1213</v>
      </c>
      <c r="Q17" s="5">
        <v>46119.636111111096</v>
      </c>
      <c r="R17" s="4">
        <v>-1</v>
      </c>
      <c r="S17" s="5">
        <v>46119.636111111096</v>
      </c>
    </row>
    <row r="18" spans="1:19" x14ac:dyDescent="0.3">
      <c r="A18" s="3"/>
      <c r="B18" s="3"/>
      <c r="C18" s="3"/>
      <c r="D18" s="3">
        <v>17</v>
      </c>
      <c r="E18" s="4">
        <v>15292</v>
      </c>
      <c r="F18" s="4">
        <v>1586</v>
      </c>
      <c r="G18" s="3" t="s">
        <v>16</v>
      </c>
      <c r="H18" s="8" t="s">
        <v>118</v>
      </c>
      <c r="I18" s="3"/>
      <c r="J18" s="3" t="s">
        <v>118</v>
      </c>
      <c r="K18" s="3" t="s">
        <v>86</v>
      </c>
      <c r="L18" s="3" t="s">
        <v>86</v>
      </c>
      <c r="M18" s="3" t="s">
        <v>26</v>
      </c>
      <c r="N18" s="3" t="s">
        <v>34</v>
      </c>
      <c r="O18" s="3" t="s">
        <v>20</v>
      </c>
      <c r="P18" s="4">
        <v>1213</v>
      </c>
      <c r="Q18" s="5">
        <v>46107.417361111096</v>
      </c>
      <c r="R18" s="4">
        <v>1213</v>
      </c>
      <c r="S18" s="5">
        <v>46111.105555555601</v>
      </c>
    </row>
    <row r="19" spans="1:19" x14ac:dyDescent="0.3">
      <c r="A19" s="3"/>
      <c r="B19" s="3"/>
      <c r="C19" s="3"/>
      <c r="D19" s="3">
        <v>18</v>
      </c>
      <c r="E19" s="4">
        <v>15366</v>
      </c>
      <c r="F19" s="4">
        <v>6217</v>
      </c>
      <c r="G19" s="3" t="s">
        <v>16</v>
      </c>
      <c r="H19" s="8" t="s">
        <v>88</v>
      </c>
      <c r="I19" s="3"/>
      <c r="J19" s="3" t="s">
        <v>88</v>
      </c>
      <c r="K19" s="3" t="s">
        <v>89</v>
      </c>
      <c r="L19" s="3" t="s">
        <v>89</v>
      </c>
      <c r="M19" s="3" t="s">
        <v>18</v>
      </c>
      <c r="N19" s="3" t="s">
        <v>87</v>
      </c>
      <c r="O19" s="3" t="s">
        <v>20</v>
      </c>
      <c r="P19" s="4">
        <v>1213</v>
      </c>
      <c r="Q19" s="5">
        <v>46118.1159722222</v>
      </c>
      <c r="R19" s="4">
        <v>1213</v>
      </c>
      <c r="S19" s="5">
        <v>46118.1381944444</v>
      </c>
    </row>
    <row r="20" spans="1:19" x14ac:dyDescent="0.3">
      <c r="A20" s="3"/>
      <c r="B20" s="3"/>
      <c r="C20" s="3"/>
      <c r="D20" s="3">
        <v>19</v>
      </c>
      <c r="E20" s="4">
        <v>15367</v>
      </c>
      <c r="F20" s="4">
        <v>1586</v>
      </c>
      <c r="G20" s="3" t="s">
        <v>16</v>
      </c>
      <c r="H20" s="8" t="s">
        <v>119</v>
      </c>
      <c r="I20" s="3"/>
      <c r="J20" s="3" t="s">
        <v>119</v>
      </c>
      <c r="K20" s="3" t="s">
        <v>89</v>
      </c>
      <c r="L20" s="3" t="s">
        <v>89</v>
      </c>
      <c r="M20" s="3" t="s">
        <v>26</v>
      </c>
      <c r="N20" s="3" t="s">
        <v>34</v>
      </c>
      <c r="O20" s="3" t="s">
        <v>20</v>
      </c>
      <c r="P20" s="4">
        <v>1213</v>
      </c>
      <c r="Q20" s="5">
        <v>46118.1159722222</v>
      </c>
      <c r="R20" s="4">
        <v>1213</v>
      </c>
      <c r="S20" s="5">
        <v>46118.1381944444</v>
      </c>
    </row>
    <row r="21" spans="1:19" x14ac:dyDescent="0.3">
      <c r="A21" s="3"/>
      <c r="B21" s="3"/>
      <c r="C21" s="3"/>
      <c r="D21" s="3">
        <v>20</v>
      </c>
      <c r="E21" s="4">
        <v>15318</v>
      </c>
      <c r="F21" s="4">
        <v>6217</v>
      </c>
      <c r="G21" s="3" t="s">
        <v>16</v>
      </c>
      <c r="H21" s="8" t="s">
        <v>90</v>
      </c>
      <c r="I21" s="3"/>
      <c r="J21" s="3" t="s">
        <v>90</v>
      </c>
      <c r="K21" s="3" t="s">
        <v>91</v>
      </c>
      <c r="L21" s="3" t="s">
        <v>91</v>
      </c>
      <c r="M21" s="3" t="s">
        <v>18</v>
      </c>
      <c r="N21" s="3" t="s">
        <v>87</v>
      </c>
      <c r="O21" s="3" t="s">
        <v>20</v>
      </c>
      <c r="P21" s="4">
        <v>1213</v>
      </c>
      <c r="Q21" s="5">
        <v>46111.695138888899</v>
      </c>
      <c r="R21" s="4">
        <v>1213</v>
      </c>
      <c r="S21" s="5">
        <v>46133.304861111101</v>
      </c>
    </row>
    <row r="22" spans="1:19" x14ac:dyDescent="0.3">
      <c r="A22" s="3"/>
      <c r="B22" s="3"/>
      <c r="C22" s="3"/>
      <c r="D22" s="3">
        <v>21</v>
      </c>
      <c r="E22" s="4">
        <v>15314</v>
      </c>
      <c r="F22" s="4">
        <v>1586</v>
      </c>
      <c r="G22" s="3" t="s">
        <v>16</v>
      </c>
      <c r="H22" s="8" t="s">
        <v>120</v>
      </c>
      <c r="I22" s="3"/>
      <c r="J22" s="3" t="s">
        <v>120</v>
      </c>
      <c r="K22" s="3" t="s">
        <v>121</v>
      </c>
      <c r="L22" s="3" t="s">
        <v>121</v>
      </c>
      <c r="M22" s="3" t="s">
        <v>26</v>
      </c>
      <c r="N22" s="3" t="s">
        <v>34</v>
      </c>
      <c r="O22" s="3" t="s">
        <v>20</v>
      </c>
      <c r="P22" s="4">
        <v>1213</v>
      </c>
      <c r="Q22" s="5">
        <v>46111.104861111096</v>
      </c>
      <c r="R22" s="4">
        <v>1213</v>
      </c>
      <c r="S22" s="5">
        <v>46119.106249999997</v>
      </c>
    </row>
    <row r="23" spans="1:19" x14ac:dyDescent="0.3">
      <c r="A23" s="3"/>
      <c r="B23" s="3"/>
      <c r="C23" s="3"/>
      <c r="D23" s="3">
        <v>22</v>
      </c>
      <c r="E23" s="4">
        <v>15387</v>
      </c>
      <c r="F23" s="4">
        <v>1531</v>
      </c>
      <c r="G23" s="3" t="s">
        <v>16</v>
      </c>
      <c r="H23" s="8" t="s">
        <v>105</v>
      </c>
      <c r="I23" s="3"/>
      <c r="J23" s="3" t="s">
        <v>105</v>
      </c>
      <c r="K23" s="3" t="s">
        <v>106</v>
      </c>
      <c r="L23" s="3" t="s">
        <v>107</v>
      </c>
      <c r="M23" s="3" t="s">
        <v>18</v>
      </c>
      <c r="N23" s="3" t="s">
        <v>23</v>
      </c>
      <c r="O23" s="3" t="s">
        <v>20</v>
      </c>
      <c r="P23" s="4">
        <v>1213</v>
      </c>
      <c r="Q23" s="5">
        <v>46120.034722222197</v>
      </c>
      <c r="R23" s="4">
        <v>-1</v>
      </c>
      <c r="S23" s="5">
        <v>46120.034722222197</v>
      </c>
    </row>
    <row r="24" spans="1:19" x14ac:dyDescent="0.3">
      <c r="A24" s="3"/>
      <c r="B24" s="3"/>
      <c r="C24" s="3"/>
      <c r="D24" s="3">
        <v>23</v>
      </c>
      <c r="E24" s="4">
        <v>15388</v>
      </c>
      <c r="F24" s="4">
        <v>1531</v>
      </c>
      <c r="G24" s="3" t="s">
        <v>16</v>
      </c>
      <c r="H24" s="8" t="s">
        <v>92</v>
      </c>
      <c r="I24" s="3"/>
      <c r="J24" s="3" t="s">
        <v>93</v>
      </c>
      <c r="K24" s="3" t="s">
        <v>94</v>
      </c>
      <c r="L24" s="3" t="s">
        <v>95</v>
      </c>
      <c r="M24" s="3" t="s">
        <v>26</v>
      </c>
      <c r="N24" s="3" t="s">
        <v>31</v>
      </c>
      <c r="O24" s="3" t="s">
        <v>20</v>
      </c>
      <c r="P24" s="4">
        <v>1213</v>
      </c>
      <c r="Q24" s="5">
        <v>46120.034722222197</v>
      </c>
      <c r="R24" s="4">
        <v>-1</v>
      </c>
      <c r="S24" s="5">
        <v>46120.034722222197</v>
      </c>
    </row>
    <row r="25" spans="1:19" x14ac:dyDescent="0.3">
      <c r="A25" s="3"/>
      <c r="B25" s="3"/>
      <c r="C25" s="3"/>
      <c r="D25" s="3">
        <v>24</v>
      </c>
      <c r="E25" s="4">
        <v>15461</v>
      </c>
      <c r="F25" s="4">
        <v>6217</v>
      </c>
      <c r="G25" s="3" t="s">
        <v>16</v>
      </c>
      <c r="H25" s="8" t="s">
        <v>108</v>
      </c>
      <c r="I25" s="3"/>
      <c r="J25" s="3" t="s">
        <v>108</v>
      </c>
      <c r="K25" s="3" t="s">
        <v>109</v>
      </c>
      <c r="L25" s="3" t="s">
        <v>109</v>
      </c>
      <c r="M25" s="3" t="s">
        <v>18</v>
      </c>
      <c r="N25" s="3" t="s">
        <v>87</v>
      </c>
      <c r="O25" s="3" t="s">
        <v>20</v>
      </c>
      <c r="P25" s="4">
        <v>1213</v>
      </c>
      <c r="Q25" s="5">
        <v>46135.371527777803</v>
      </c>
      <c r="R25" s="4">
        <v>-1</v>
      </c>
      <c r="S25" s="5">
        <v>46135.371527777803</v>
      </c>
    </row>
    <row r="26" spans="1:19" x14ac:dyDescent="0.3">
      <c r="A26" s="3"/>
      <c r="B26" s="3"/>
      <c r="C26" s="3"/>
      <c r="D26" s="3">
        <v>25</v>
      </c>
      <c r="E26" s="4">
        <v>15253</v>
      </c>
      <c r="F26" s="4">
        <v>1592</v>
      </c>
      <c r="G26" s="3" t="s">
        <v>16</v>
      </c>
      <c r="H26" s="8" t="s">
        <v>148</v>
      </c>
      <c r="I26" s="3"/>
      <c r="J26" s="3" t="s">
        <v>148</v>
      </c>
      <c r="K26" s="3" t="s">
        <v>151</v>
      </c>
      <c r="L26" s="3" t="s">
        <v>148</v>
      </c>
      <c r="M26" s="3" t="s">
        <v>18</v>
      </c>
      <c r="N26" s="3" t="s">
        <v>146</v>
      </c>
      <c r="O26" s="3" t="s">
        <v>20</v>
      </c>
      <c r="P26" s="4">
        <v>1213</v>
      </c>
      <c r="Q26" s="5">
        <v>46093.296527777798</v>
      </c>
      <c r="R26" s="4">
        <v>1213</v>
      </c>
      <c r="S26" s="5">
        <v>46093.3</v>
      </c>
    </row>
    <row r="27" spans="1:19" x14ac:dyDescent="0.3">
      <c r="A27" s="3"/>
      <c r="B27" s="3"/>
      <c r="C27" s="3"/>
      <c r="D27" s="3">
        <v>26</v>
      </c>
      <c r="E27" s="4">
        <v>15252</v>
      </c>
      <c r="F27" s="4">
        <v>1592</v>
      </c>
      <c r="G27" s="3" t="s">
        <v>16</v>
      </c>
      <c r="H27" s="8" t="s">
        <v>147</v>
      </c>
      <c r="I27" s="3"/>
      <c r="J27" s="3" t="s">
        <v>148</v>
      </c>
      <c r="K27" s="3" t="s">
        <v>149</v>
      </c>
      <c r="L27" s="3" t="s">
        <v>150</v>
      </c>
      <c r="M27" s="3" t="s">
        <v>26</v>
      </c>
      <c r="N27" s="3" t="s">
        <v>31</v>
      </c>
      <c r="O27" s="3" t="s">
        <v>20</v>
      </c>
      <c r="P27" s="4">
        <v>1213</v>
      </c>
      <c r="Q27" s="5">
        <v>46093.296527777798</v>
      </c>
      <c r="R27" s="4">
        <v>1213</v>
      </c>
      <c r="S27" s="5">
        <v>46093.347916666702</v>
      </c>
    </row>
    <row r="28" spans="1:19" x14ac:dyDescent="0.3">
      <c r="A28" s="3"/>
      <c r="B28" s="3"/>
      <c r="C28" s="3"/>
      <c r="D28" s="3">
        <v>27</v>
      </c>
      <c r="E28" s="4">
        <v>14855</v>
      </c>
      <c r="F28" s="4">
        <v>1531</v>
      </c>
      <c r="G28" s="3" t="s">
        <v>16</v>
      </c>
      <c r="H28" s="8" t="s">
        <v>157</v>
      </c>
      <c r="I28" s="3"/>
      <c r="J28" s="3" t="s">
        <v>157</v>
      </c>
      <c r="K28" s="3" t="s">
        <v>158</v>
      </c>
      <c r="L28" s="3" t="s">
        <v>158</v>
      </c>
      <c r="M28" s="3" t="s">
        <v>18</v>
      </c>
      <c r="N28" s="3" t="s">
        <v>23</v>
      </c>
      <c r="O28" s="3" t="s">
        <v>20</v>
      </c>
      <c r="P28" s="4">
        <v>1213</v>
      </c>
      <c r="Q28" s="5">
        <v>45931.095833333296</v>
      </c>
      <c r="R28" s="4">
        <v>-1</v>
      </c>
      <c r="S28" s="5">
        <v>45931.095833333296</v>
      </c>
    </row>
    <row r="29" spans="1:19" x14ac:dyDescent="0.3">
      <c r="A29" s="3"/>
      <c r="B29" s="3"/>
      <c r="C29" s="3"/>
      <c r="D29" s="3">
        <v>28</v>
      </c>
      <c r="E29" s="4">
        <v>14856</v>
      </c>
      <c r="F29" s="4">
        <v>1531</v>
      </c>
      <c r="G29" s="3" t="s">
        <v>16</v>
      </c>
      <c r="H29" s="8" t="s">
        <v>159</v>
      </c>
      <c r="I29" s="3"/>
      <c r="J29" s="3" t="s">
        <v>157</v>
      </c>
      <c r="K29" s="3" t="s">
        <v>160</v>
      </c>
      <c r="L29" s="3" t="s">
        <v>160</v>
      </c>
      <c r="M29" s="3" t="s">
        <v>26</v>
      </c>
      <c r="N29" s="3" t="s">
        <v>31</v>
      </c>
      <c r="O29" s="3" t="s">
        <v>20</v>
      </c>
      <c r="P29" s="4">
        <v>1213</v>
      </c>
      <c r="Q29" s="5">
        <v>45931.095833333296</v>
      </c>
      <c r="R29" s="4">
        <v>-1</v>
      </c>
      <c r="S29" s="5">
        <v>45931.095833333296</v>
      </c>
    </row>
    <row r="30" spans="1:19" x14ac:dyDescent="0.3">
      <c r="A30" s="3"/>
      <c r="B30" s="3"/>
      <c r="C30" s="3"/>
      <c r="D30" s="3">
        <v>29</v>
      </c>
      <c r="E30" s="4">
        <v>14857</v>
      </c>
      <c r="F30" s="4">
        <v>1531</v>
      </c>
      <c r="G30" s="3" t="s">
        <v>16</v>
      </c>
      <c r="H30" s="8" t="s">
        <v>161</v>
      </c>
      <c r="I30" s="3"/>
      <c r="J30" s="3" t="s">
        <v>161</v>
      </c>
      <c r="K30" s="3" t="s">
        <v>162</v>
      </c>
      <c r="L30" s="3" t="s">
        <v>162</v>
      </c>
      <c r="M30" s="3" t="s">
        <v>18</v>
      </c>
      <c r="N30" s="3" t="s">
        <v>23</v>
      </c>
      <c r="O30" s="3" t="s">
        <v>20</v>
      </c>
      <c r="P30" s="4">
        <v>1213</v>
      </c>
      <c r="Q30" s="5">
        <v>45931.095833333296</v>
      </c>
      <c r="R30" s="4">
        <v>-1</v>
      </c>
      <c r="S30" s="5">
        <v>45931.095833333296</v>
      </c>
    </row>
    <row r="31" spans="1:19" x14ac:dyDescent="0.3">
      <c r="A31" s="3"/>
      <c r="B31" s="3"/>
      <c r="C31" s="3"/>
      <c r="D31" s="3">
        <v>30</v>
      </c>
      <c r="E31" s="4">
        <v>14858</v>
      </c>
      <c r="F31" s="4">
        <v>1531</v>
      </c>
      <c r="G31" s="3" t="s">
        <v>16</v>
      </c>
      <c r="H31" s="8" t="s">
        <v>163</v>
      </c>
      <c r="I31" s="3"/>
      <c r="J31" s="3" t="s">
        <v>161</v>
      </c>
      <c r="K31" s="3" t="s">
        <v>164</v>
      </c>
      <c r="L31" s="3" t="s">
        <v>164</v>
      </c>
      <c r="M31" s="3" t="s">
        <v>26</v>
      </c>
      <c r="N31" s="3" t="s">
        <v>31</v>
      </c>
      <c r="O31" s="3" t="s">
        <v>20</v>
      </c>
      <c r="P31" s="4">
        <v>1213</v>
      </c>
      <c r="Q31" s="5">
        <v>45931.096527777801</v>
      </c>
      <c r="R31" s="4">
        <v>-1</v>
      </c>
      <c r="S31" s="5">
        <v>45931.096527777801</v>
      </c>
    </row>
    <row r="32" spans="1:19" x14ac:dyDescent="0.3">
      <c r="A32" s="3"/>
      <c r="B32" s="3"/>
      <c r="C32" s="3"/>
      <c r="D32" s="3">
        <v>31</v>
      </c>
      <c r="E32" s="4">
        <v>15056</v>
      </c>
      <c r="F32" s="4">
        <v>1531</v>
      </c>
      <c r="G32" s="3" t="s">
        <v>16</v>
      </c>
      <c r="H32" s="8" t="s">
        <v>182</v>
      </c>
      <c r="I32" s="3"/>
      <c r="J32" s="3" t="s">
        <v>182</v>
      </c>
      <c r="K32" s="3" t="s">
        <v>183</v>
      </c>
      <c r="L32" s="3" t="s">
        <v>184</v>
      </c>
      <c r="M32" s="3" t="s">
        <v>18</v>
      </c>
      <c r="N32" s="3" t="s">
        <v>185</v>
      </c>
      <c r="O32" s="3" t="s">
        <v>20</v>
      </c>
      <c r="P32" s="4">
        <v>1213</v>
      </c>
      <c r="Q32" s="5">
        <v>46000.314583333296</v>
      </c>
      <c r="R32" s="4">
        <v>-1</v>
      </c>
      <c r="S32" s="5">
        <v>46000.314583333296</v>
      </c>
    </row>
    <row r="33" spans="1:19" x14ac:dyDescent="0.3">
      <c r="A33" s="3"/>
      <c r="B33" s="3"/>
      <c r="C33" s="3"/>
      <c r="D33" s="3">
        <v>32</v>
      </c>
      <c r="E33" s="4">
        <v>15057</v>
      </c>
      <c r="F33" s="4">
        <v>1531</v>
      </c>
      <c r="G33" s="3" t="s">
        <v>16</v>
      </c>
      <c r="H33" s="8" t="s">
        <v>186</v>
      </c>
      <c r="I33" s="3"/>
      <c r="J33" s="3" t="s">
        <v>182</v>
      </c>
      <c r="K33" s="3" t="s">
        <v>187</v>
      </c>
      <c r="L33" s="3" t="s">
        <v>188</v>
      </c>
      <c r="M33" s="3" t="s">
        <v>26</v>
      </c>
      <c r="N33" s="3" t="s">
        <v>189</v>
      </c>
      <c r="O33" s="3" t="s">
        <v>20</v>
      </c>
      <c r="P33" s="4">
        <v>1213</v>
      </c>
      <c r="Q33" s="5">
        <v>46000.314583333296</v>
      </c>
      <c r="R33" s="4">
        <v>-1</v>
      </c>
      <c r="S33" s="5">
        <v>46000.314583333296</v>
      </c>
    </row>
    <row r="34" spans="1:19" x14ac:dyDescent="0.3">
      <c r="A34" s="3"/>
      <c r="B34" s="3"/>
      <c r="C34" s="3"/>
      <c r="D34" s="3">
        <v>33</v>
      </c>
      <c r="E34" s="4"/>
      <c r="F34" s="4"/>
      <c r="G34" s="3"/>
      <c r="H34" s="8" t="str">
        <f>_xlfn.TEXTJOIN(" ",TRUE,H13:H33)</f>
        <v>EDIT_BizProcessB10 BizProcessB10 BizProcessDetailB10 EDIT_BizProcessDetailB10 BusinessPlan Def_BusinessPlan BusinessPlanHN Def_BusinessPlanHN BusinessPlanPN Def_BusinessPlanPN CapExPlan EDIT_CapEx CashflowPlan DepreciationRule EDIT_DepreciationRule EnergyUsedDocE EDIT_EnergyUsedDocE EnergyUsedDocW EDIT_EnergyUsedDocW ItemArray EDIT_ItemArray</v>
      </c>
      <c r="I34" s="3"/>
      <c r="J34" s="3"/>
      <c r="K34" s="3"/>
      <c r="L34" s="3"/>
      <c r="M34" s="3"/>
      <c r="N34" s="3"/>
      <c r="O34" s="3"/>
      <c r="P34" s="4"/>
      <c r="Q34" s="5"/>
      <c r="R34" s="4"/>
      <c r="S34" s="5"/>
    </row>
    <row r="35" spans="1:19" x14ac:dyDescent="0.3">
      <c r="A35" s="3"/>
      <c r="B35" s="3"/>
      <c r="C35" s="3"/>
      <c r="D35" s="3">
        <v>34</v>
      </c>
      <c r="E35" s="4">
        <v>15089</v>
      </c>
      <c r="F35" s="4">
        <v>1531</v>
      </c>
      <c r="G35" s="3" t="s">
        <v>16</v>
      </c>
      <c r="H35" s="8" t="s">
        <v>198</v>
      </c>
      <c r="I35" s="3"/>
      <c r="J35" s="3" t="s">
        <v>199</v>
      </c>
      <c r="K35" s="3" t="s">
        <v>200</v>
      </c>
      <c r="L35" s="3" t="s">
        <v>201</v>
      </c>
      <c r="M35" s="3" t="s">
        <v>26</v>
      </c>
      <c r="N35" s="3" t="s">
        <v>202</v>
      </c>
      <c r="O35" s="3" t="s">
        <v>20</v>
      </c>
      <c r="P35" s="4">
        <v>1213</v>
      </c>
      <c r="Q35" s="5">
        <v>46028.072222222203</v>
      </c>
      <c r="R35" s="4">
        <v>1213</v>
      </c>
      <c r="S35" s="5">
        <v>46205.054166666698</v>
      </c>
    </row>
    <row r="36" spans="1:19" x14ac:dyDescent="0.3">
      <c r="A36" s="3"/>
      <c r="B36" s="3"/>
      <c r="C36" s="3"/>
      <c r="D36" s="3">
        <v>35</v>
      </c>
      <c r="E36" s="4">
        <v>15552</v>
      </c>
      <c r="F36" s="4">
        <v>1531</v>
      </c>
      <c r="G36" s="3" t="s">
        <v>16</v>
      </c>
      <c r="H36" s="8" t="s">
        <v>203</v>
      </c>
      <c r="I36" s="3"/>
      <c r="J36" s="3" t="s">
        <v>204</v>
      </c>
      <c r="K36" s="3" t="s">
        <v>205</v>
      </c>
      <c r="L36" s="3" t="s">
        <v>205</v>
      </c>
      <c r="M36" s="3" t="s">
        <v>26</v>
      </c>
      <c r="N36" s="3" t="s">
        <v>202</v>
      </c>
      <c r="O36" s="3" t="s">
        <v>20</v>
      </c>
      <c r="P36" s="4">
        <v>1213</v>
      </c>
      <c r="Q36" s="5">
        <v>46186.186805555597</v>
      </c>
      <c r="R36" s="4">
        <v>1213</v>
      </c>
      <c r="S36" s="5">
        <v>46205.054861111101</v>
      </c>
    </row>
    <row r="37" spans="1:19" x14ac:dyDescent="0.3">
      <c r="A37" s="3"/>
      <c r="B37" s="3"/>
      <c r="C37" s="3"/>
      <c r="D37" s="3">
        <v>36</v>
      </c>
      <c r="E37" s="4">
        <v>15535</v>
      </c>
      <c r="F37" s="4">
        <v>1531</v>
      </c>
      <c r="G37" s="3" t="s">
        <v>16</v>
      </c>
      <c r="H37" s="8" t="s">
        <v>206</v>
      </c>
      <c r="I37" s="3"/>
      <c r="J37" s="3" t="s">
        <v>207</v>
      </c>
      <c r="K37" s="3" t="s">
        <v>208</v>
      </c>
      <c r="L37" s="3" t="s">
        <v>208</v>
      </c>
      <c r="M37" s="3" t="s">
        <v>26</v>
      </c>
      <c r="N37" s="3" t="s">
        <v>202</v>
      </c>
      <c r="O37" s="3" t="s">
        <v>20</v>
      </c>
      <c r="P37" s="4">
        <v>1213</v>
      </c>
      <c r="Q37" s="5">
        <v>46182.054861111101</v>
      </c>
      <c r="R37" s="4">
        <v>1213</v>
      </c>
      <c r="S37" s="5">
        <v>46192.264583333301</v>
      </c>
    </row>
    <row r="38" spans="1:19" x14ac:dyDescent="0.3">
      <c r="A38" s="3"/>
      <c r="B38" s="3"/>
      <c r="C38" s="3"/>
      <c r="D38" s="3">
        <v>37</v>
      </c>
      <c r="E38" s="4">
        <v>15255</v>
      </c>
      <c r="F38" s="4">
        <v>1531</v>
      </c>
      <c r="G38" s="3" t="s">
        <v>16</v>
      </c>
      <c r="H38" s="8" t="s">
        <v>209</v>
      </c>
      <c r="I38" s="3"/>
      <c r="J38" s="3" t="s">
        <v>210</v>
      </c>
      <c r="K38" s="3" t="s">
        <v>211</v>
      </c>
      <c r="L38" s="3" t="s">
        <v>212</v>
      </c>
      <c r="M38" s="3" t="s">
        <v>26</v>
      </c>
      <c r="N38" s="3" t="s">
        <v>213</v>
      </c>
      <c r="O38" s="3" t="s">
        <v>20</v>
      </c>
      <c r="P38" s="4">
        <v>1213</v>
      </c>
      <c r="Q38" s="5">
        <v>46094.098611111098</v>
      </c>
      <c r="R38" s="4">
        <v>1213</v>
      </c>
      <c r="S38" s="5">
        <v>46205.267361111102</v>
      </c>
    </row>
    <row r="39" spans="1:19" x14ac:dyDescent="0.3">
      <c r="A39" s="3"/>
      <c r="B39" s="3"/>
      <c r="C39" s="3"/>
      <c r="D39" s="3">
        <v>38</v>
      </c>
      <c r="E39" s="4">
        <v>14992</v>
      </c>
      <c r="F39" s="4">
        <v>1531</v>
      </c>
      <c r="G39" s="3" t="s">
        <v>16</v>
      </c>
      <c r="H39" s="8" t="s">
        <v>214</v>
      </c>
      <c r="I39" s="3"/>
      <c r="J39" s="3" t="s">
        <v>215</v>
      </c>
      <c r="K39" s="3" t="s">
        <v>216</v>
      </c>
      <c r="L39" s="3" t="s">
        <v>217</v>
      </c>
      <c r="M39" s="3" t="s">
        <v>26</v>
      </c>
      <c r="N39" s="3" t="s">
        <v>202</v>
      </c>
      <c r="O39" s="3" t="s">
        <v>20</v>
      </c>
      <c r="P39" s="4">
        <v>1213</v>
      </c>
      <c r="Q39" s="5">
        <v>45975.2409722222</v>
      </c>
      <c r="R39" s="4">
        <v>10000001</v>
      </c>
      <c r="S39" s="5">
        <v>45981.3215277778</v>
      </c>
    </row>
    <row r="40" spans="1:19" x14ac:dyDescent="0.3">
      <c r="A40" s="3"/>
      <c r="B40" s="3"/>
      <c r="C40" s="3"/>
      <c r="D40" s="3">
        <v>39</v>
      </c>
      <c r="E40" s="4">
        <v>15071</v>
      </c>
      <c r="F40" s="4">
        <v>1531</v>
      </c>
      <c r="G40" s="3" t="s">
        <v>16</v>
      </c>
      <c r="H40" s="8" t="s">
        <v>218</v>
      </c>
      <c r="I40" s="3"/>
      <c r="J40" s="3" t="s">
        <v>219</v>
      </c>
      <c r="K40" s="3" t="s">
        <v>220</v>
      </c>
      <c r="L40" s="3" t="s">
        <v>220</v>
      </c>
      <c r="M40" s="3" t="s">
        <v>26</v>
      </c>
      <c r="N40" s="3" t="s">
        <v>202</v>
      </c>
      <c r="O40" s="3" t="b">
        <v>0</v>
      </c>
      <c r="P40" s="4">
        <v>1213</v>
      </c>
      <c r="Q40" s="5">
        <v>46009.222222222197</v>
      </c>
      <c r="R40" s="4">
        <v>1213</v>
      </c>
      <c r="S40" s="5">
        <v>46091.283333333296</v>
      </c>
    </row>
    <row r="41" spans="1:19" x14ac:dyDescent="0.3">
      <c r="A41" s="3"/>
      <c r="B41" s="3"/>
      <c r="C41" s="3"/>
      <c r="D41" s="3">
        <v>40</v>
      </c>
      <c r="E41" s="4">
        <v>15083</v>
      </c>
      <c r="F41" s="4">
        <v>1531</v>
      </c>
      <c r="G41" s="3" t="s">
        <v>16</v>
      </c>
      <c r="H41" s="8" t="s">
        <v>221</v>
      </c>
      <c r="I41" s="3"/>
      <c r="J41" s="3" t="s">
        <v>222</v>
      </c>
      <c r="K41" s="3" t="s">
        <v>223</v>
      </c>
      <c r="L41" s="3" t="s">
        <v>217</v>
      </c>
      <c r="M41" s="3" t="s">
        <v>26</v>
      </c>
      <c r="N41" s="3" t="s">
        <v>202</v>
      </c>
      <c r="O41" s="3" t="s">
        <v>20</v>
      </c>
      <c r="P41" s="4">
        <v>1213</v>
      </c>
      <c r="Q41" s="5">
        <v>46016.100694444402</v>
      </c>
      <c r="R41" s="4">
        <v>-1</v>
      </c>
      <c r="S41" s="5">
        <v>46016.100694444402</v>
      </c>
    </row>
    <row r="42" spans="1:19" x14ac:dyDescent="0.3">
      <c r="A42" s="3"/>
      <c r="B42" s="3"/>
      <c r="C42" s="3"/>
      <c r="D42" s="3">
        <v>41</v>
      </c>
      <c r="E42" s="4">
        <v>14991</v>
      </c>
      <c r="F42" s="4">
        <v>1531</v>
      </c>
      <c r="G42" s="3" t="s">
        <v>16</v>
      </c>
      <c r="H42" s="8" t="s">
        <v>224</v>
      </c>
      <c r="I42" s="3"/>
      <c r="J42" s="3" t="s">
        <v>225</v>
      </c>
      <c r="K42" s="3" t="s">
        <v>226</v>
      </c>
      <c r="L42" s="3" t="s">
        <v>226</v>
      </c>
      <c r="M42" s="3" t="s">
        <v>26</v>
      </c>
      <c r="N42" s="3" t="s">
        <v>202</v>
      </c>
      <c r="O42" s="3" t="s">
        <v>20</v>
      </c>
      <c r="P42" s="4">
        <v>1213</v>
      </c>
      <c r="Q42" s="5">
        <v>45975.229166666701</v>
      </c>
      <c r="R42" s="4">
        <v>553</v>
      </c>
      <c r="S42" s="5">
        <v>46209.262499999997</v>
      </c>
    </row>
    <row r="43" spans="1:19" x14ac:dyDescent="0.3">
      <c r="A43" s="3"/>
      <c r="B43" s="3"/>
      <c r="C43" s="3"/>
      <c r="D43" s="3">
        <v>42</v>
      </c>
      <c r="E43" s="4">
        <v>15247</v>
      </c>
      <c r="F43" s="4">
        <v>1592</v>
      </c>
      <c r="G43" s="3" t="s">
        <v>16</v>
      </c>
      <c r="H43" s="8" t="s">
        <v>227</v>
      </c>
      <c r="I43" s="3"/>
      <c r="J43" s="3" t="s">
        <v>227</v>
      </c>
      <c r="K43" s="3" t="s">
        <v>228</v>
      </c>
      <c r="L43" s="3" t="s">
        <v>229</v>
      </c>
      <c r="M43" s="3" t="s">
        <v>18</v>
      </c>
      <c r="N43" s="3" t="s">
        <v>146</v>
      </c>
      <c r="O43" s="3" t="s">
        <v>20</v>
      </c>
      <c r="P43" s="4">
        <v>1213</v>
      </c>
      <c r="Q43" s="5">
        <v>46091.085416666698</v>
      </c>
      <c r="R43" s="4">
        <v>-1</v>
      </c>
      <c r="S43" s="5">
        <v>46091.085416666698</v>
      </c>
    </row>
    <row r="44" spans="1:19" x14ac:dyDescent="0.3">
      <c r="A44" s="3"/>
      <c r="B44" s="3"/>
      <c r="C44" s="3"/>
      <c r="D44" s="3">
        <v>43</v>
      </c>
      <c r="E44" s="4">
        <v>15248</v>
      </c>
      <c r="F44" s="4">
        <v>1592</v>
      </c>
      <c r="G44" s="3" t="s">
        <v>16</v>
      </c>
      <c r="H44" s="8" t="s">
        <v>230</v>
      </c>
      <c r="I44" s="3"/>
      <c r="J44" s="3" t="s">
        <v>227</v>
      </c>
      <c r="K44" s="3" t="s">
        <v>231</v>
      </c>
      <c r="L44" s="3" t="s">
        <v>232</v>
      </c>
      <c r="M44" s="3" t="s">
        <v>26</v>
      </c>
      <c r="N44" s="3" t="s">
        <v>233</v>
      </c>
      <c r="O44" s="3" t="s">
        <v>20</v>
      </c>
      <c r="P44" s="4">
        <v>1213</v>
      </c>
      <c r="Q44" s="5">
        <v>46091.086111111101</v>
      </c>
      <c r="R44" s="4">
        <v>-1</v>
      </c>
      <c r="S44" s="5">
        <v>46091.086111111101</v>
      </c>
    </row>
    <row r="45" spans="1:19" x14ac:dyDescent="0.3">
      <c r="A45" s="3"/>
      <c r="B45" s="3"/>
      <c r="C45" s="3"/>
      <c r="D45" s="3">
        <v>44</v>
      </c>
      <c r="E45" s="4">
        <v>15616</v>
      </c>
      <c r="F45" s="4">
        <v>1531</v>
      </c>
      <c r="G45" s="3" t="s">
        <v>16</v>
      </c>
      <c r="H45" s="8" t="s">
        <v>238</v>
      </c>
      <c r="I45" s="3"/>
      <c r="J45" s="3" t="s">
        <v>238</v>
      </c>
      <c r="K45" s="3" t="s">
        <v>239</v>
      </c>
      <c r="L45" s="3" t="s">
        <v>240</v>
      </c>
      <c r="M45" s="3" t="s">
        <v>18</v>
      </c>
      <c r="N45" s="3" t="s">
        <v>23</v>
      </c>
      <c r="O45" s="3" t="s">
        <v>20</v>
      </c>
      <c r="P45" s="4">
        <v>1213</v>
      </c>
      <c r="Q45" s="5">
        <v>46220.422222222202</v>
      </c>
      <c r="R45" s="4">
        <v>-1</v>
      </c>
      <c r="S45" s="5">
        <v>46220.422222222202</v>
      </c>
    </row>
    <row r="46" spans="1:19" x14ac:dyDescent="0.3">
      <c r="A46" s="3"/>
      <c r="B46" s="3"/>
      <c r="C46" s="3"/>
      <c r="D46" s="3">
        <v>45</v>
      </c>
      <c r="E46" s="4">
        <v>15050</v>
      </c>
      <c r="F46" s="4">
        <v>-1</v>
      </c>
      <c r="G46" s="3" t="s">
        <v>16</v>
      </c>
      <c r="H46" s="8" t="s">
        <v>241</v>
      </c>
      <c r="I46" s="3"/>
      <c r="J46" s="3" t="s">
        <v>241</v>
      </c>
      <c r="K46" s="3" t="s">
        <v>242</v>
      </c>
      <c r="L46" s="3" t="s">
        <v>242</v>
      </c>
      <c r="M46" s="3" t="s">
        <v>18</v>
      </c>
      <c r="N46" s="3" t="s">
        <v>75</v>
      </c>
      <c r="O46" s="3" t="s">
        <v>20</v>
      </c>
      <c r="P46" s="4">
        <v>1213</v>
      </c>
      <c r="Q46" s="5">
        <v>45997.130555555603</v>
      </c>
      <c r="R46" s="4">
        <v>1213</v>
      </c>
      <c r="S46" s="5">
        <v>46007.623611111099</v>
      </c>
    </row>
    <row r="47" spans="1:19" x14ac:dyDescent="0.3">
      <c r="A47" s="3"/>
      <c r="B47" s="3"/>
      <c r="C47" s="3"/>
      <c r="D47" s="3">
        <v>46</v>
      </c>
      <c r="E47" s="4">
        <v>15051</v>
      </c>
      <c r="F47" s="4">
        <v>1531</v>
      </c>
      <c r="G47" s="3" t="s">
        <v>16</v>
      </c>
      <c r="H47" s="8" t="s">
        <v>243</v>
      </c>
      <c r="I47" s="3"/>
      <c r="J47" s="3" t="s">
        <v>241</v>
      </c>
      <c r="K47" s="3" t="s">
        <v>244</v>
      </c>
      <c r="L47" s="3" t="s">
        <v>244</v>
      </c>
      <c r="M47" s="3" t="s">
        <v>26</v>
      </c>
      <c r="N47" s="3" t="s">
        <v>75</v>
      </c>
      <c r="O47" s="3" t="s">
        <v>20</v>
      </c>
      <c r="P47" s="4">
        <v>1213</v>
      </c>
      <c r="Q47" s="5">
        <v>45997.130555555603</v>
      </c>
      <c r="R47" s="4">
        <v>1213</v>
      </c>
      <c r="S47" s="5">
        <v>46007.623611111099</v>
      </c>
    </row>
    <row r="48" spans="1:19" x14ac:dyDescent="0.3">
      <c r="A48" s="3"/>
      <c r="B48" s="3"/>
      <c r="C48" s="3"/>
      <c r="D48" s="3">
        <v>47</v>
      </c>
      <c r="E48" s="4">
        <v>15063</v>
      </c>
      <c r="F48" s="4">
        <v>1531</v>
      </c>
      <c r="G48" s="3" t="s">
        <v>16</v>
      </c>
      <c r="H48" s="8" t="s">
        <v>245</v>
      </c>
      <c r="I48" s="3"/>
      <c r="J48" s="3" t="s">
        <v>245</v>
      </c>
      <c r="K48" s="3" t="s">
        <v>246</v>
      </c>
      <c r="L48" s="3" t="s">
        <v>246</v>
      </c>
      <c r="M48" s="3" t="s">
        <v>26</v>
      </c>
      <c r="N48" s="3" t="s">
        <v>202</v>
      </c>
      <c r="O48" s="3" t="s">
        <v>20</v>
      </c>
      <c r="P48" s="4">
        <v>1213</v>
      </c>
      <c r="Q48" s="5">
        <v>46002.077777777798</v>
      </c>
      <c r="R48" s="4">
        <v>553</v>
      </c>
      <c r="S48" s="5">
        <v>46146.324999999997</v>
      </c>
    </row>
    <row r="49" spans="1:19" x14ac:dyDescent="0.3">
      <c r="A49" s="3"/>
      <c r="B49" s="3"/>
      <c r="C49" s="3"/>
      <c r="D49" s="3">
        <v>48</v>
      </c>
      <c r="E49" s="4">
        <v>15020</v>
      </c>
      <c r="F49" s="4">
        <v>1531</v>
      </c>
      <c r="G49" s="3" t="s">
        <v>16</v>
      </c>
      <c r="H49" s="8" t="s">
        <v>247</v>
      </c>
      <c r="I49" s="3"/>
      <c r="J49" s="3" t="s">
        <v>248</v>
      </c>
      <c r="K49" s="3" t="s">
        <v>249</v>
      </c>
      <c r="L49" s="3" t="s">
        <v>250</v>
      </c>
      <c r="M49" s="3" t="s">
        <v>26</v>
      </c>
      <c r="N49" s="3" t="s">
        <v>251</v>
      </c>
      <c r="O49" s="3" t="s">
        <v>20</v>
      </c>
      <c r="P49" s="4">
        <v>1213</v>
      </c>
      <c r="Q49" s="5">
        <v>45990.180555555598</v>
      </c>
      <c r="R49" s="4">
        <v>-1</v>
      </c>
      <c r="S49" s="5">
        <v>45990.180555555598</v>
      </c>
    </row>
    <row r="50" spans="1:19" x14ac:dyDescent="0.3">
      <c r="A50" s="3"/>
      <c r="B50" s="3"/>
      <c r="C50" s="3"/>
      <c r="D50" s="3">
        <v>49</v>
      </c>
      <c r="E50" s="4">
        <v>14873</v>
      </c>
      <c r="F50" s="4">
        <v>1531</v>
      </c>
      <c r="G50" s="3" t="s">
        <v>16</v>
      </c>
      <c r="H50" s="8" t="s">
        <v>253</v>
      </c>
      <c r="I50" s="3"/>
      <c r="J50" s="3" t="s">
        <v>253</v>
      </c>
      <c r="K50" s="3" t="s">
        <v>256</v>
      </c>
      <c r="L50" s="3" t="s">
        <v>257</v>
      </c>
      <c r="M50" s="3" t="s">
        <v>18</v>
      </c>
      <c r="N50" s="3" t="s">
        <v>258</v>
      </c>
      <c r="O50" s="3" t="s">
        <v>20</v>
      </c>
      <c r="P50" s="4">
        <v>1213</v>
      </c>
      <c r="Q50" s="5">
        <v>45937.004166666702</v>
      </c>
      <c r="R50" s="4">
        <v>1213</v>
      </c>
      <c r="S50" s="5">
        <v>45995.338888888902</v>
      </c>
    </row>
    <row r="51" spans="1:19" x14ac:dyDescent="0.3">
      <c r="A51" s="3"/>
      <c r="B51" s="3"/>
      <c r="C51" s="3"/>
      <c r="D51" s="3">
        <v>50</v>
      </c>
      <c r="E51" s="4">
        <v>14871</v>
      </c>
      <c r="F51" s="4">
        <v>1531</v>
      </c>
      <c r="G51" s="3" t="s">
        <v>16</v>
      </c>
      <c r="H51" s="8" t="s">
        <v>252</v>
      </c>
      <c r="I51" s="3"/>
      <c r="J51" s="3" t="s">
        <v>253</v>
      </c>
      <c r="K51" s="3" t="s">
        <v>254</v>
      </c>
      <c r="L51" s="3" t="s">
        <v>255</v>
      </c>
      <c r="M51" s="3" t="s">
        <v>26</v>
      </c>
      <c r="N51" s="3" t="s">
        <v>31</v>
      </c>
      <c r="O51" s="3" t="s">
        <v>20</v>
      </c>
      <c r="P51" s="4">
        <v>1213</v>
      </c>
      <c r="Q51" s="5">
        <v>45937.004861111098</v>
      </c>
      <c r="R51" s="4">
        <v>-1</v>
      </c>
      <c r="S51" s="5">
        <v>45937.004861111098</v>
      </c>
    </row>
    <row r="52" spans="1:19" x14ac:dyDescent="0.3">
      <c r="A52" s="3"/>
      <c r="B52" s="3"/>
      <c r="C52" s="3"/>
      <c r="D52" s="3">
        <v>51</v>
      </c>
      <c r="E52" s="4">
        <v>15013</v>
      </c>
      <c r="F52" s="4">
        <v>1531</v>
      </c>
      <c r="G52" s="3" t="s">
        <v>16</v>
      </c>
      <c r="H52" s="8" t="s">
        <v>259</v>
      </c>
      <c r="I52" s="3"/>
      <c r="J52" s="3" t="s">
        <v>259</v>
      </c>
      <c r="K52" s="3" t="s">
        <v>260</v>
      </c>
      <c r="L52" s="3" t="s">
        <v>257</v>
      </c>
      <c r="M52" s="3" t="s">
        <v>18</v>
      </c>
      <c r="N52" s="3" t="s">
        <v>23</v>
      </c>
      <c r="O52" s="3" t="s">
        <v>20</v>
      </c>
      <c r="P52" s="4">
        <v>1213</v>
      </c>
      <c r="Q52" s="5">
        <v>45987.332638888904</v>
      </c>
      <c r="R52" s="4">
        <v>-1</v>
      </c>
      <c r="S52" s="5">
        <v>45987.332638888904</v>
      </c>
    </row>
    <row r="53" spans="1:19" x14ac:dyDescent="0.3">
      <c r="A53" s="3"/>
      <c r="B53" s="3"/>
      <c r="C53" s="3"/>
      <c r="D53" s="3">
        <v>52</v>
      </c>
      <c r="E53" s="4">
        <v>15014</v>
      </c>
      <c r="F53" s="4">
        <v>1531</v>
      </c>
      <c r="G53" s="3" t="s">
        <v>16</v>
      </c>
      <c r="H53" s="8" t="s">
        <v>261</v>
      </c>
      <c r="I53" s="3"/>
      <c r="J53" s="3" t="s">
        <v>259</v>
      </c>
      <c r="K53" s="3" t="s">
        <v>262</v>
      </c>
      <c r="L53" s="3" t="s">
        <v>255</v>
      </c>
      <c r="M53" s="3" t="s">
        <v>26</v>
      </c>
      <c r="N53" s="3" t="s">
        <v>31</v>
      </c>
      <c r="O53" s="3" t="s">
        <v>20</v>
      </c>
      <c r="P53" s="4">
        <v>1213</v>
      </c>
      <c r="Q53" s="5">
        <v>45987.332638888904</v>
      </c>
      <c r="R53" s="4">
        <v>-1</v>
      </c>
      <c r="S53" s="5">
        <v>45987.332638888904</v>
      </c>
    </row>
    <row r="54" spans="1:19" x14ac:dyDescent="0.3">
      <c r="A54" s="3"/>
      <c r="B54" s="3"/>
      <c r="C54" s="3"/>
      <c r="D54" s="3">
        <v>53</v>
      </c>
      <c r="E54" s="4"/>
      <c r="F54" s="4"/>
      <c r="G54" s="3"/>
      <c r="H54" s="8"/>
      <c r="I54" s="3"/>
      <c r="J54" s="3"/>
      <c r="K54" s="3"/>
      <c r="L54" s="3"/>
      <c r="M54" s="3"/>
      <c r="N54" s="3"/>
      <c r="O54" s="3"/>
      <c r="P54" s="4"/>
      <c r="Q54" s="5"/>
      <c r="R54" s="4"/>
      <c r="S54" s="5"/>
    </row>
    <row r="55" spans="1:19" x14ac:dyDescent="0.3">
      <c r="A55" s="3"/>
      <c r="B55" s="3"/>
      <c r="C55" s="3"/>
      <c r="D55" s="3">
        <v>54</v>
      </c>
      <c r="E55" s="4">
        <v>14847</v>
      </c>
      <c r="F55" s="4">
        <v>1531</v>
      </c>
      <c r="G55" s="3" t="s">
        <v>16</v>
      </c>
      <c r="H55" s="8" t="s">
        <v>272</v>
      </c>
      <c r="I55" s="3"/>
      <c r="J55" s="3" t="s">
        <v>272</v>
      </c>
      <c r="K55" s="3" t="s">
        <v>273</v>
      </c>
      <c r="L55" s="3" t="s">
        <v>273</v>
      </c>
      <c r="M55" s="3" t="s">
        <v>18</v>
      </c>
      <c r="N55" s="3" t="s">
        <v>23</v>
      </c>
      <c r="O55" s="3" t="s">
        <v>20</v>
      </c>
      <c r="P55" s="4">
        <v>1213</v>
      </c>
      <c r="Q55" s="5">
        <v>45929.3972222222</v>
      </c>
      <c r="R55" s="4">
        <v>553</v>
      </c>
      <c r="S55" s="5">
        <v>46210.341666666704</v>
      </c>
    </row>
    <row r="56" spans="1:19" x14ac:dyDescent="0.3">
      <c r="A56" s="3"/>
      <c r="B56" s="3"/>
      <c r="C56" s="3"/>
      <c r="D56" s="3">
        <v>55</v>
      </c>
      <c r="E56" s="4">
        <v>14848</v>
      </c>
      <c r="F56" s="4">
        <v>1531</v>
      </c>
      <c r="G56" s="3" t="s">
        <v>16</v>
      </c>
      <c r="H56" s="8" t="s">
        <v>274</v>
      </c>
      <c r="I56" s="3"/>
      <c r="J56" s="3" t="s">
        <v>272</v>
      </c>
      <c r="K56" s="3" t="s">
        <v>275</v>
      </c>
      <c r="L56" s="3" t="s">
        <v>276</v>
      </c>
      <c r="M56" s="3" t="s">
        <v>26</v>
      </c>
      <c r="N56" s="3" t="s">
        <v>31</v>
      </c>
      <c r="O56" s="3" t="s">
        <v>20</v>
      </c>
      <c r="P56" s="4">
        <v>1213</v>
      </c>
      <c r="Q56" s="5">
        <v>45929.3972222222</v>
      </c>
      <c r="R56" s="4">
        <v>553</v>
      </c>
      <c r="S56" s="5">
        <v>46210.340972222199</v>
      </c>
    </row>
    <row r="57" spans="1:19" x14ac:dyDescent="0.3">
      <c r="A57" s="3"/>
      <c r="B57" s="3"/>
      <c r="C57" s="3"/>
      <c r="D57" s="3">
        <v>56</v>
      </c>
      <c r="E57" s="4">
        <v>14862</v>
      </c>
      <c r="F57" s="4">
        <v>1531</v>
      </c>
      <c r="G57" s="3" t="s">
        <v>16</v>
      </c>
      <c r="H57" s="8" t="s">
        <v>277</v>
      </c>
      <c r="I57" s="3"/>
      <c r="J57" s="3" t="s">
        <v>277</v>
      </c>
      <c r="K57" s="3" t="s">
        <v>278</v>
      </c>
      <c r="L57" s="3" t="s">
        <v>278</v>
      </c>
      <c r="M57" s="3" t="s">
        <v>18</v>
      </c>
      <c r="N57" s="3" t="s">
        <v>23</v>
      </c>
      <c r="O57" s="3" t="s">
        <v>20</v>
      </c>
      <c r="P57" s="4">
        <v>1213</v>
      </c>
      <c r="Q57" s="5">
        <v>45931.4868055556</v>
      </c>
      <c r="R57" s="4">
        <v>1213</v>
      </c>
      <c r="S57" s="5">
        <v>45996.356249999997</v>
      </c>
    </row>
    <row r="58" spans="1:19" x14ac:dyDescent="0.3">
      <c r="A58" s="3"/>
      <c r="B58" s="3"/>
      <c r="C58" s="3"/>
      <c r="D58" s="3">
        <v>57</v>
      </c>
      <c r="E58" s="4">
        <v>14863</v>
      </c>
      <c r="F58" s="4">
        <v>1531</v>
      </c>
      <c r="G58" s="3" t="s">
        <v>16</v>
      </c>
      <c r="H58" s="8" t="s">
        <v>279</v>
      </c>
      <c r="I58" s="3"/>
      <c r="J58" s="3" t="s">
        <v>277</v>
      </c>
      <c r="K58" s="3" t="s">
        <v>280</v>
      </c>
      <c r="L58" s="3" t="s">
        <v>280</v>
      </c>
      <c r="M58" s="3" t="s">
        <v>26</v>
      </c>
      <c r="N58" s="3" t="s">
        <v>31</v>
      </c>
      <c r="O58" s="3" t="s">
        <v>20</v>
      </c>
      <c r="P58" s="4">
        <v>1213</v>
      </c>
      <c r="Q58" s="5">
        <v>45931.487500000003</v>
      </c>
      <c r="R58" s="4">
        <v>1213</v>
      </c>
      <c r="S58" s="5">
        <v>45996.356249999997</v>
      </c>
    </row>
    <row r="59" spans="1:19" x14ac:dyDescent="0.3">
      <c r="A59" s="3"/>
      <c r="B59" s="3"/>
      <c r="C59" s="3"/>
      <c r="D59" s="3">
        <v>58</v>
      </c>
      <c r="E59" s="4">
        <v>14916</v>
      </c>
      <c r="F59" s="4">
        <v>1529</v>
      </c>
      <c r="G59" s="3" t="s">
        <v>16</v>
      </c>
      <c r="H59" s="8" t="s">
        <v>285</v>
      </c>
      <c r="I59" s="3"/>
      <c r="J59" s="3" t="s">
        <v>285</v>
      </c>
      <c r="K59" s="3" t="s">
        <v>286</v>
      </c>
      <c r="L59" s="3" t="s">
        <v>287</v>
      </c>
      <c r="M59" s="3" t="s">
        <v>18</v>
      </c>
      <c r="N59" s="3" t="s">
        <v>288</v>
      </c>
      <c r="O59" s="3" t="s">
        <v>20</v>
      </c>
      <c r="P59" s="4">
        <v>1213</v>
      </c>
      <c r="Q59" s="5">
        <v>45943.475694444402</v>
      </c>
      <c r="R59" s="4">
        <v>1213</v>
      </c>
      <c r="S59" s="5">
        <v>45943.478472222203</v>
      </c>
    </row>
    <row r="60" spans="1:19" x14ac:dyDescent="0.3">
      <c r="A60" s="3"/>
      <c r="B60" s="3"/>
      <c r="C60" s="3"/>
      <c r="D60" s="3">
        <v>59</v>
      </c>
      <c r="E60" s="4">
        <v>14918</v>
      </c>
      <c r="F60" s="4">
        <v>1529</v>
      </c>
      <c r="G60" s="3" t="s">
        <v>16</v>
      </c>
      <c r="H60" s="8" t="s">
        <v>289</v>
      </c>
      <c r="I60" s="3"/>
      <c r="J60" s="3" t="s">
        <v>285</v>
      </c>
      <c r="K60" s="3" t="s">
        <v>290</v>
      </c>
      <c r="L60" s="3" t="s">
        <v>291</v>
      </c>
      <c r="M60" s="3" t="s">
        <v>26</v>
      </c>
      <c r="N60" s="3" t="s">
        <v>292</v>
      </c>
      <c r="O60" s="3" t="s">
        <v>20</v>
      </c>
      <c r="P60" s="4">
        <v>1213</v>
      </c>
      <c r="Q60" s="5">
        <v>45943.477083333302</v>
      </c>
      <c r="R60" s="4">
        <v>1213</v>
      </c>
      <c r="S60" s="5">
        <v>45943.479166666701</v>
      </c>
    </row>
    <row r="61" spans="1:19" x14ac:dyDescent="0.3">
      <c r="A61" s="3"/>
      <c r="B61" s="3"/>
      <c r="C61" s="3"/>
      <c r="D61" s="3">
        <v>60</v>
      </c>
      <c r="E61" s="4">
        <v>15507</v>
      </c>
      <c r="F61" s="4">
        <v>1529</v>
      </c>
      <c r="G61" s="3" t="s">
        <v>16</v>
      </c>
      <c r="H61" s="8" t="s">
        <v>293</v>
      </c>
      <c r="I61" s="3"/>
      <c r="J61" s="3" t="s">
        <v>293</v>
      </c>
      <c r="K61" s="3" t="s">
        <v>294</v>
      </c>
      <c r="L61" s="3" t="s">
        <v>295</v>
      </c>
      <c r="M61" s="3" t="s">
        <v>18</v>
      </c>
      <c r="N61" s="3" t="s">
        <v>146</v>
      </c>
      <c r="O61" s="3" t="s">
        <v>20</v>
      </c>
      <c r="P61" s="4">
        <v>1213</v>
      </c>
      <c r="Q61" s="5">
        <v>46168.127777777801</v>
      </c>
      <c r="R61" s="4">
        <v>-1</v>
      </c>
      <c r="S61" s="5">
        <v>46168.127777777801</v>
      </c>
    </row>
    <row r="62" spans="1:19" x14ac:dyDescent="0.3">
      <c r="A62" s="3"/>
      <c r="B62" s="3"/>
      <c r="C62" s="3"/>
      <c r="D62" s="3">
        <v>61</v>
      </c>
      <c r="E62" s="4">
        <v>14875</v>
      </c>
      <c r="F62" s="4">
        <v>1531</v>
      </c>
      <c r="G62" s="3" t="s">
        <v>16</v>
      </c>
      <c r="H62" s="8" t="s">
        <v>301</v>
      </c>
      <c r="I62" s="3"/>
      <c r="J62" s="3" t="s">
        <v>301</v>
      </c>
      <c r="K62" s="3" t="s">
        <v>302</v>
      </c>
      <c r="L62" s="3" t="s">
        <v>302</v>
      </c>
      <c r="M62" s="3" t="s">
        <v>18</v>
      </c>
      <c r="N62" s="3" t="s">
        <v>23</v>
      </c>
      <c r="O62" s="3" t="s">
        <v>20</v>
      </c>
      <c r="P62" s="4">
        <v>1213</v>
      </c>
      <c r="Q62" s="5">
        <v>45937.002777777801</v>
      </c>
      <c r="R62" s="4">
        <v>-1</v>
      </c>
      <c r="S62" s="5">
        <v>45937.002777777801</v>
      </c>
    </row>
    <row r="63" spans="1:19" x14ac:dyDescent="0.3">
      <c r="A63" s="3"/>
      <c r="B63" s="3"/>
      <c r="C63" s="3"/>
      <c r="D63" s="3">
        <v>62</v>
      </c>
      <c r="E63" s="4">
        <v>14880</v>
      </c>
      <c r="F63" s="4">
        <v>1531</v>
      </c>
      <c r="G63" s="3" t="s">
        <v>16</v>
      </c>
      <c r="H63" s="8" t="s">
        <v>303</v>
      </c>
      <c r="I63" s="3"/>
      <c r="J63" s="3" t="s">
        <v>303</v>
      </c>
      <c r="K63" s="3" t="s">
        <v>304</v>
      </c>
      <c r="L63" s="3" t="s">
        <v>304</v>
      </c>
      <c r="M63" s="3" t="s">
        <v>18</v>
      </c>
      <c r="N63" s="3" t="s">
        <v>23</v>
      </c>
      <c r="O63" s="3" t="s">
        <v>20</v>
      </c>
      <c r="P63" s="4">
        <v>1213</v>
      </c>
      <c r="Q63" s="5">
        <v>45936.190972222197</v>
      </c>
      <c r="R63" s="4">
        <v>1213</v>
      </c>
      <c r="S63" s="5">
        <v>45969.563888888901</v>
      </c>
    </row>
    <row r="64" spans="1:19" x14ac:dyDescent="0.3">
      <c r="A64" s="3"/>
      <c r="B64" s="3"/>
      <c r="C64" s="3"/>
      <c r="D64" s="3">
        <v>63</v>
      </c>
      <c r="E64" s="4">
        <v>14938</v>
      </c>
      <c r="F64" s="4">
        <v>1531</v>
      </c>
      <c r="G64" s="3" t="s">
        <v>16</v>
      </c>
      <c r="H64" s="8" t="s">
        <v>305</v>
      </c>
      <c r="I64" s="3"/>
      <c r="J64" s="3" t="s">
        <v>305</v>
      </c>
      <c r="K64" s="3" t="s">
        <v>306</v>
      </c>
      <c r="L64" s="3" t="s">
        <v>306</v>
      </c>
      <c r="M64" s="3" t="s">
        <v>18</v>
      </c>
      <c r="N64" s="3" t="s">
        <v>23</v>
      </c>
      <c r="O64" s="3" t="s">
        <v>20</v>
      </c>
      <c r="P64" s="4">
        <v>1213</v>
      </c>
      <c r="Q64" s="5">
        <v>45946.5444444444</v>
      </c>
      <c r="R64" s="4">
        <v>-1</v>
      </c>
      <c r="S64" s="5">
        <v>45946.5444444444</v>
      </c>
    </row>
    <row r="65" spans="1:19" x14ac:dyDescent="0.3">
      <c r="A65" s="3"/>
      <c r="B65" s="3"/>
      <c r="C65" s="3"/>
      <c r="D65" s="3">
        <v>64</v>
      </c>
      <c r="E65" s="4">
        <v>14928</v>
      </c>
      <c r="F65" s="4">
        <v>1531</v>
      </c>
      <c r="G65" s="3" t="s">
        <v>16</v>
      </c>
      <c r="H65" s="8" t="s">
        <v>307</v>
      </c>
      <c r="I65" s="3"/>
      <c r="J65" s="3" t="s">
        <v>307</v>
      </c>
      <c r="K65" s="3" t="s">
        <v>308</v>
      </c>
      <c r="L65" s="3" t="s">
        <v>308</v>
      </c>
      <c r="M65" s="3" t="s">
        <v>18</v>
      </c>
      <c r="N65" s="3" t="s">
        <v>23</v>
      </c>
      <c r="O65" s="3" t="s">
        <v>20</v>
      </c>
      <c r="P65" s="4">
        <v>1213</v>
      </c>
      <c r="Q65" s="5">
        <v>45944.164583333302</v>
      </c>
      <c r="R65" s="4">
        <v>1213</v>
      </c>
      <c r="S65" s="5">
        <v>45969.563888888901</v>
      </c>
    </row>
    <row r="66" spans="1:19" x14ac:dyDescent="0.3">
      <c r="A66" s="3"/>
      <c r="B66" s="3"/>
      <c r="C66" s="3"/>
      <c r="D66" s="3">
        <v>65</v>
      </c>
      <c r="E66" s="4">
        <v>14881</v>
      </c>
      <c r="F66" s="4">
        <v>1531</v>
      </c>
      <c r="G66" s="3" t="s">
        <v>16</v>
      </c>
      <c r="H66" s="8" t="s">
        <v>309</v>
      </c>
      <c r="I66" s="3"/>
      <c r="J66" s="3" t="s">
        <v>309</v>
      </c>
      <c r="K66" s="3" t="s">
        <v>310</v>
      </c>
      <c r="L66" s="3" t="s">
        <v>310</v>
      </c>
      <c r="M66" s="3" t="s">
        <v>18</v>
      </c>
      <c r="N66" s="3" t="s">
        <v>23</v>
      </c>
      <c r="O66" s="3" t="s">
        <v>20</v>
      </c>
      <c r="P66" s="4">
        <v>1213</v>
      </c>
      <c r="Q66" s="5">
        <v>45936.190277777801</v>
      </c>
      <c r="R66" s="4">
        <v>1213</v>
      </c>
      <c r="S66" s="5">
        <v>45969.563194444403</v>
      </c>
    </row>
    <row r="67" spans="1:19" x14ac:dyDescent="0.3">
      <c r="A67" s="3"/>
      <c r="B67" s="3"/>
      <c r="C67" s="3"/>
      <c r="D67" s="3">
        <v>66</v>
      </c>
      <c r="E67" s="4">
        <v>14882</v>
      </c>
      <c r="F67" s="4">
        <v>1531</v>
      </c>
      <c r="G67" s="3" t="s">
        <v>16</v>
      </c>
      <c r="H67" s="8" t="s">
        <v>311</v>
      </c>
      <c r="I67" s="3"/>
      <c r="J67" s="3" t="s">
        <v>311</v>
      </c>
      <c r="K67" s="3" t="s">
        <v>312</v>
      </c>
      <c r="L67" s="3" t="s">
        <v>312</v>
      </c>
      <c r="M67" s="3" t="s">
        <v>18</v>
      </c>
      <c r="N67" s="3" t="s">
        <v>23</v>
      </c>
      <c r="O67" s="3" t="s">
        <v>20</v>
      </c>
      <c r="P67" s="4">
        <v>1213</v>
      </c>
      <c r="Q67" s="5">
        <v>45936.190972222197</v>
      </c>
      <c r="R67" s="4">
        <v>1213</v>
      </c>
      <c r="S67" s="5">
        <v>45969.563888888901</v>
      </c>
    </row>
    <row r="68" spans="1:19" x14ac:dyDescent="0.3">
      <c r="A68" s="3"/>
      <c r="B68" s="3"/>
      <c r="C68" s="3"/>
      <c r="D68" s="3">
        <v>67</v>
      </c>
      <c r="E68" s="4">
        <v>14939</v>
      </c>
      <c r="F68" s="4">
        <v>1531</v>
      </c>
      <c r="G68" s="3" t="s">
        <v>16</v>
      </c>
      <c r="H68" s="8" t="s">
        <v>313</v>
      </c>
      <c r="I68" s="3"/>
      <c r="J68" s="3" t="s">
        <v>313</v>
      </c>
      <c r="K68" s="3" t="s">
        <v>314</v>
      </c>
      <c r="L68" s="3" t="s">
        <v>314</v>
      </c>
      <c r="M68" s="3" t="s">
        <v>18</v>
      </c>
      <c r="N68" s="3" t="s">
        <v>23</v>
      </c>
      <c r="O68" s="3" t="s">
        <v>20</v>
      </c>
      <c r="P68" s="4">
        <v>1213</v>
      </c>
      <c r="Q68" s="5">
        <v>45946.5444444444</v>
      </c>
      <c r="R68" s="4">
        <v>-1</v>
      </c>
      <c r="S68" s="5">
        <v>45946.5444444444</v>
      </c>
    </row>
    <row r="69" spans="1:19" x14ac:dyDescent="0.3">
      <c r="A69" s="3"/>
      <c r="B69" s="3"/>
      <c r="C69" s="3"/>
      <c r="D69" s="3">
        <v>68</v>
      </c>
      <c r="E69" s="4">
        <v>14876</v>
      </c>
      <c r="F69" s="4">
        <v>1531</v>
      </c>
      <c r="G69" s="3" t="s">
        <v>16</v>
      </c>
      <c r="H69" s="8" t="s">
        <v>315</v>
      </c>
      <c r="I69" s="3"/>
      <c r="J69" s="3" t="s">
        <v>315</v>
      </c>
      <c r="K69" s="3" t="s">
        <v>316</v>
      </c>
      <c r="L69" s="3" t="s">
        <v>316</v>
      </c>
      <c r="M69" s="3" t="s">
        <v>18</v>
      </c>
      <c r="N69" s="3" t="s">
        <v>23</v>
      </c>
      <c r="O69" s="3" t="s">
        <v>20</v>
      </c>
      <c r="P69" s="4">
        <v>1213</v>
      </c>
      <c r="Q69" s="5">
        <v>45937.002777777801</v>
      </c>
      <c r="R69" s="4">
        <v>-1</v>
      </c>
      <c r="S69" s="5">
        <v>45937.002777777801</v>
      </c>
    </row>
    <row r="70" spans="1:19" x14ac:dyDescent="0.3">
      <c r="A70" s="3"/>
      <c r="B70" s="3"/>
      <c r="C70" s="3"/>
      <c r="D70" s="3">
        <v>69</v>
      </c>
      <c r="E70" s="4">
        <v>14877</v>
      </c>
      <c r="F70" s="4">
        <v>1531</v>
      </c>
      <c r="G70" s="3" t="s">
        <v>16</v>
      </c>
      <c r="H70" s="8" t="s">
        <v>317</v>
      </c>
      <c r="I70" s="3"/>
      <c r="J70" s="3" t="s">
        <v>317</v>
      </c>
      <c r="K70" s="3" t="s">
        <v>318</v>
      </c>
      <c r="L70" s="3" t="s">
        <v>318</v>
      </c>
      <c r="M70" s="3" t="s">
        <v>18</v>
      </c>
      <c r="N70" s="3" t="s">
        <v>23</v>
      </c>
      <c r="O70" s="3" t="s">
        <v>20</v>
      </c>
      <c r="P70" s="4">
        <v>1213</v>
      </c>
      <c r="Q70" s="5">
        <v>45937.004166666702</v>
      </c>
      <c r="R70" s="4">
        <v>1213</v>
      </c>
      <c r="S70" s="5">
        <v>45973.2409722222</v>
      </c>
    </row>
    <row r="71" spans="1:19" x14ac:dyDescent="0.3">
      <c r="A71" s="3"/>
      <c r="B71" s="3"/>
      <c r="C71" s="3"/>
      <c r="D71" s="3">
        <v>70</v>
      </c>
      <c r="E71" s="4">
        <v>14949</v>
      </c>
      <c r="F71" s="4">
        <v>1531</v>
      </c>
      <c r="G71" s="3" t="s">
        <v>16</v>
      </c>
      <c r="H71" s="8" t="s">
        <v>319</v>
      </c>
      <c r="I71" s="3"/>
      <c r="J71" s="3" t="s">
        <v>319</v>
      </c>
      <c r="K71" s="3" t="s">
        <v>320</v>
      </c>
      <c r="L71" s="3" t="s">
        <v>320</v>
      </c>
      <c r="M71" s="3" t="s">
        <v>18</v>
      </c>
      <c r="N71" s="3" t="s">
        <v>23</v>
      </c>
      <c r="O71" s="3" t="s">
        <v>20</v>
      </c>
      <c r="P71" s="4">
        <v>1213</v>
      </c>
      <c r="Q71" s="5">
        <v>45951.5444444444</v>
      </c>
      <c r="R71" s="4">
        <v>-1</v>
      </c>
      <c r="S71" s="5">
        <v>45951.5444444444</v>
      </c>
    </row>
    <row r="72" spans="1:19" x14ac:dyDescent="0.3">
      <c r="A72" s="3"/>
      <c r="B72" s="3"/>
      <c r="C72" s="3"/>
      <c r="D72" s="3">
        <v>71</v>
      </c>
      <c r="E72" s="4">
        <v>14878</v>
      </c>
      <c r="F72" s="4">
        <v>1531</v>
      </c>
      <c r="G72" s="3" t="s">
        <v>16</v>
      </c>
      <c r="H72" s="8" t="s">
        <v>321</v>
      </c>
      <c r="I72" s="3"/>
      <c r="J72" s="3" t="s">
        <v>321</v>
      </c>
      <c r="K72" s="3" t="s">
        <v>322</v>
      </c>
      <c r="L72" s="3" t="s">
        <v>322</v>
      </c>
      <c r="M72" s="3" t="s">
        <v>18</v>
      </c>
      <c r="N72" s="3" t="s">
        <v>23</v>
      </c>
      <c r="O72" s="3" t="s">
        <v>20</v>
      </c>
      <c r="P72" s="4">
        <v>1213</v>
      </c>
      <c r="Q72" s="5">
        <v>45937.003472222197</v>
      </c>
      <c r="R72" s="4">
        <v>-1</v>
      </c>
      <c r="S72" s="5">
        <v>45937.003472222197</v>
      </c>
    </row>
    <row r="73" spans="1:19" x14ac:dyDescent="0.3">
      <c r="A73" s="3"/>
      <c r="B73" s="3"/>
      <c r="C73" s="3"/>
      <c r="D73" s="3">
        <v>72</v>
      </c>
      <c r="E73" s="4">
        <v>14883</v>
      </c>
      <c r="F73" s="4">
        <v>1531</v>
      </c>
      <c r="G73" s="3" t="s">
        <v>16</v>
      </c>
      <c r="H73" s="8" t="s">
        <v>323</v>
      </c>
      <c r="I73" s="3"/>
      <c r="J73" s="3" t="s">
        <v>323</v>
      </c>
      <c r="K73" s="3" t="s">
        <v>324</v>
      </c>
      <c r="L73" s="3" t="s">
        <v>324</v>
      </c>
      <c r="M73" s="3" t="s">
        <v>18</v>
      </c>
      <c r="N73" s="3" t="s">
        <v>23</v>
      </c>
      <c r="O73" s="3" t="s">
        <v>20</v>
      </c>
      <c r="P73" s="4">
        <v>1213</v>
      </c>
      <c r="Q73" s="5">
        <v>45936.190277777801</v>
      </c>
      <c r="R73" s="4">
        <v>1213</v>
      </c>
      <c r="S73" s="5">
        <v>45969.563888888901</v>
      </c>
    </row>
    <row r="74" spans="1:19" x14ac:dyDescent="0.3">
      <c r="A74" s="3"/>
      <c r="B74" s="3"/>
      <c r="C74" s="3"/>
      <c r="D74" s="3">
        <v>73</v>
      </c>
      <c r="E74" s="4">
        <v>14879</v>
      </c>
      <c r="F74" s="4">
        <v>1531</v>
      </c>
      <c r="G74" s="3" t="s">
        <v>16</v>
      </c>
      <c r="H74" s="8" t="s">
        <v>325</v>
      </c>
      <c r="I74" s="3"/>
      <c r="J74" s="3" t="s">
        <v>325</v>
      </c>
      <c r="K74" s="3" t="s">
        <v>326</v>
      </c>
      <c r="L74" s="3" t="s">
        <v>326</v>
      </c>
      <c r="M74" s="3" t="s">
        <v>18</v>
      </c>
      <c r="N74" s="3" t="s">
        <v>23</v>
      </c>
      <c r="O74" s="3" t="s">
        <v>20</v>
      </c>
      <c r="P74" s="4">
        <v>1213</v>
      </c>
      <c r="Q74" s="5">
        <v>45937.003472222197</v>
      </c>
      <c r="R74" s="4">
        <v>-1</v>
      </c>
      <c r="S74" s="5">
        <v>45937.003472222197</v>
      </c>
    </row>
    <row r="75" spans="1:19" x14ac:dyDescent="0.3">
      <c r="A75" s="3"/>
      <c r="B75" s="3"/>
      <c r="C75" s="3"/>
      <c r="D75" s="3">
        <v>74</v>
      </c>
      <c r="E75" s="4">
        <v>14884</v>
      </c>
      <c r="F75" s="4">
        <v>1531</v>
      </c>
      <c r="G75" s="3" t="s">
        <v>16</v>
      </c>
      <c r="H75" s="8" t="s">
        <v>327</v>
      </c>
      <c r="I75" s="3"/>
      <c r="J75" s="3" t="s">
        <v>327</v>
      </c>
      <c r="K75" s="3" t="s">
        <v>328</v>
      </c>
      <c r="L75" s="3" t="s">
        <v>328</v>
      </c>
      <c r="M75" s="3" t="s">
        <v>18</v>
      </c>
      <c r="N75" s="3" t="s">
        <v>23</v>
      </c>
      <c r="O75" s="3" t="s">
        <v>20</v>
      </c>
      <c r="P75" s="4">
        <v>1213</v>
      </c>
      <c r="Q75" s="5">
        <v>45936.189583333296</v>
      </c>
      <c r="R75" s="4">
        <v>1213</v>
      </c>
      <c r="S75" s="5">
        <v>45969.563194444403</v>
      </c>
    </row>
    <row r="76" spans="1:19" x14ac:dyDescent="0.3">
      <c r="A76" s="3"/>
      <c r="B76" s="3"/>
      <c r="C76" s="3"/>
      <c r="D76" s="3">
        <v>75</v>
      </c>
      <c r="E76" s="4">
        <v>14893</v>
      </c>
      <c r="F76" s="4">
        <v>1531</v>
      </c>
      <c r="G76" s="3" t="s">
        <v>16</v>
      </c>
      <c r="H76" s="8" t="s">
        <v>367</v>
      </c>
      <c r="I76" s="3"/>
      <c r="J76" s="3" t="s">
        <v>367</v>
      </c>
      <c r="K76" s="3" t="s">
        <v>368</v>
      </c>
      <c r="L76" s="3" t="s">
        <v>368</v>
      </c>
      <c r="M76" s="3" t="s">
        <v>18</v>
      </c>
      <c r="N76" s="3" t="s">
        <v>23</v>
      </c>
      <c r="O76" s="3" t="s">
        <v>20</v>
      </c>
      <c r="P76" s="4">
        <v>1213</v>
      </c>
      <c r="Q76" s="5">
        <v>45939.6430555556</v>
      </c>
      <c r="R76" s="4">
        <v>-1</v>
      </c>
      <c r="S76" s="5">
        <v>45939.6430555556</v>
      </c>
    </row>
    <row r="77" spans="1:19" x14ac:dyDescent="0.3">
      <c r="A77" s="3"/>
      <c r="B77" s="3"/>
      <c r="C77" s="3"/>
      <c r="D77" s="3">
        <v>76</v>
      </c>
      <c r="E77" s="4">
        <v>14894</v>
      </c>
      <c r="F77" s="4">
        <v>1531</v>
      </c>
      <c r="G77" s="3" t="s">
        <v>16</v>
      </c>
      <c r="H77" s="8" t="s">
        <v>369</v>
      </c>
      <c r="I77" s="3"/>
      <c r="J77" s="3" t="s">
        <v>367</v>
      </c>
      <c r="K77" s="3" t="s">
        <v>370</v>
      </c>
      <c r="L77" s="3" t="s">
        <v>370</v>
      </c>
      <c r="M77" s="3" t="s">
        <v>26</v>
      </c>
      <c r="N77" s="3" t="s">
        <v>31</v>
      </c>
      <c r="O77" s="3" t="s">
        <v>20</v>
      </c>
      <c r="P77" s="4">
        <v>1213</v>
      </c>
      <c r="Q77" s="5">
        <v>45939.6430555556</v>
      </c>
      <c r="R77" s="4">
        <v>-1</v>
      </c>
      <c r="S77" s="5">
        <v>45939.6430555556</v>
      </c>
    </row>
    <row r="78" spans="1:19" x14ac:dyDescent="0.3">
      <c r="A78" s="3"/>
      <c r="B78" s="3"/>
      <c r="C78" s="3"/>
      <c r="D78" s="3">
        <v>77</v>
      </c>
      <c r="E78" s="4">
        <v>14967</v>
      </c>
      <c r="F78" s="4">
        <v>1531</v>
      </c>
      <c r="G78" s="3" t="s">
        <v>16</v>
      </c>
      <c r="H78" s="8" t="s">
        <v>371</v>
      </c>
      <c r="I78" s="3"/>
      <c r="J78" s="3" t="s">
        <v>371</v>
      </c>
      <c r="K78" s="3" t="s">
        <v>372</v>
      </c>
      <c r="L78" s="3" t="s">
        <v>373</v>
      </c>
      <c r="M78" s="3" t="s">
        <v>18</v>
      </c>
      <c r="N78" s="3" t="s">
        <v>75</v>
      </c>
      <c r="O78" s="3" t="s">
        <v>20</v>
      </c>
      <c r="P78" s="4">
        <v>1213</v>
      </c>
      <c r="Q78" s="5">
        <v>45958.113888888904</v>
      </c>
      <c r="R78" s="4">
        <v>553</v>
      </c>
      <c r="S78" s="5">
        <v>46209.116666666698</v>
      </c>
    </row>
    <row r="79" spans="1:19" x14ac:dyDescent="0.3">
      <c r="A79" s="3"/>
      <c r="B79" s="3"/>
      <c r="C79" s="3"/>
      <c r="D79" s="3">
        <v>78</v>
      </c>
      <c r="E79" s="4">
        <v>14968</v>
      </c>
      <c r="F79" s="4">
        <v>1531</v>
      </c>
      <c r="G79" s="3" t="s">
        <v>16</v>
      </c>
      <c r="H79" s="8" t="s">
        <v>374</v>
      </c>
      <c r="I79" s="3"/>
      <c r="J79" s="3" t="s">
        <v>371</v>
      </c>
      <c r="K79" s="3" t="s">
        <v>375</v>
      </c>
      <c r="L79" s="3" t="s">
        <v>376</v>
      </c>
      <c r="M79" s="3" t="s">
        <v>26</v>
      </c>
      <c r="N79" s="3" t="s">
        <v>377</v>
      </c>
      <c r="O79" s="3" t="s">
        <v>20</v>
      </c>
      <c r="P79" s="4">
        <v>1213</v>
      </c>
      <c r="Q79" s="5">
        <v>45958.113888888904</v>
      </c>
      <c r="R79" s="4">
        <v>-1</v>
      </c>
      <c r="S79" s="5">
        <v>45958.113888888904</v>
      </c>
    </row>
    <row r="80" spans="1:19" x14ac:dyDescent="0.3">
      <c r="A80" s="3"/>
      <c r="B80" s="3"/>
      <c r="C80" s="3"/>
      <c r="D80" s="3">
        <v>79</v>
      </c>
      <c r="E80" s="4">
        <v>14817</v>
      </c>
      <c r="F80" s="4">
        <v>1531</v>
      </c>
      <c r="G80" s="3" t="s">
        <v>16</v>
      </c>
      <c r="H80" s="8" t="s">
        <v>378</v>
      </c>
      <c r="I80" s="3"/>
      <c r="J80" s="3" t="s">
        <v>378</v>
      </c>
      <c r="K80" s="3" t="s">
        <v>379</v>
      </c>
      <c r="L80" s="3" t="s">
        <v>380</v>
      </c>
      <c r="M80" s="3" t="s">
        <v>18</v>
      </c>
      <c r="N80" s="3" t="s">
        <v>23</v>
      </c>
      <c r="O80" s="3" t="s">
        <v>20</v>
      </c>
      <c r="P80" s="4">
        <v>1213</v>
      </c>
      <c r="Q80" s="5">
        <v>45915.161111111098</v>
      </c>
      <c r="R80" s="4">
        <v>-1</v>
      </c>
      <c r="S80" s="5">
        <v>45915.161111111098</v>
      </c>
    </row>
    <row r="81" spans="1:19" x14ac:dyDescent="0.3">
      <c r="A81" s="3"/>
      <c r="B81" s="3"/>
      <c r="C81" s="3"/>
      <c r="D81" s="3">
        <v>80</v>
      </c>
      <c r="E81" s="4">
        <v>14818</v>
      </c>
      <c r="F81" s="4">
        <v>1531</v>
      </c>
      <c r="G81" s="3" t="s">
        <v>16</v>
      </c>
      <c r="H81" s="8" t="s">
        <v>381</v>
      </c>
      <c r="I81" s="3"/>
      <c r="J81" s="3" t="s">
        <v>378</v>
      </c>
      <c r="K81" s="3" t="s">
        <v>382</v>
      </c>
      <c r="L81" s="3" t="s">
        <v>383</v>
      </c>
      <c r="M81" s="3" t="s">
        <v>26</v>
      </c>
      <c r="N81" s="3" t="s">
        <v>31</v>
      </c>
      <c r="O81" s="3" t="s">
        <v>20</v>
      </c>
      <c r="P81" s="4">
        <v>1213</v>
      </c>
      <c r="Q81" s="5">
        <v>45915.161805555603</v>
      </c>
      <c r="R81" s="4">
        <v>1213</v>
      </c>
      <c r="S81" s="5">
        <v>45915.203472222202</v>
      </c>
    </row>
    <row r="82" spans="1:19" x14ac:dyDescent="0.3">
      <c r="A82" s="3"/>
      <c r="B82" s="3"/>
      <c r="C82" s="3"/>
      <c r="D82" s="3">
        <v>81</v>
      </c>
      <c r="E82" s="4">
        <v>14895</v>
      </c>
      <c r="F82" s="4">
        <v>1531</v>
      </c>
      <c r="G82" s="3" t="s">
        <v>16</v>
      </c>
      <c r="H82" s="8" t="s">
        <v>384</v>
      </c>
      <c r="I82" s="3"/>
      <c r="J82" s="3" t="s">
        <v>384</v>
      </c>
      <c r="K82" s="3" t="s">
        <v>385</v>
      </c>
      <c r="L82" s="3" t="s">
        <v>385</v>
      </c>
      <c r="M82" s="3" t="s">
        <v>18</v>
      </c>
      <c r="N82" s="3" t="s">
        <v>23</v>
      </c>
      <c r="O82" s="3" t="s">
        <v>20</v>
      </c>
      <c r="P82" s="4">
        <v>1213</v>
      </c>
      <c r="Q82" s="5">
        <v>45940.316666666702</v>
      </c>
      <c r="R82" s="4">
        <v>-1</v>
      </c>
      <c r="S82" s="5">
        <v>45940.316666666702</v>
      </c>
    </row>
    <row r="83" spans="1:19" x14ac:dyDescent="0.3">
      <c r="A83" s="3"/>
      <c r="B83" s="3"/>
      <c r="C83" s="3"/>
      <c r="D83" s="3">
        <v>82</v>
      </c>
      <c r="E83" s="4">
        <v>14896</v>
      </c>
      <c r="F83" s="4">
        <v>1531</v>
      </c>
      <c r="G83" s="3" t="s">
        <v>16</v>
      </c>
      <c r="H83" s="8" t="s">
        <v>386</v>
      </c>
      <c r="I83" s="3"/>
      <c r="J83" s="3" t="s">
        <v>384</v>
      </c>
      <c r="K83" s="3" t="s">
        <v>387</v>
      </c>
      <c r="L83" s="3" t="s">
        <v>387</v>
      </c>
      <c r="M83" s="3" t="s">
        <v>26</v>
      </c>
      <c r="N83" s="3" t="s">
        <v>31</v>
      </c>
      <c r="O83" s="3" t="s">
        <v>20</v>
      </c>
      <c r="P83" s="4">
        <v>1213</v>
      </c>
      <c r="Q83" s="5">
        <v>45940.316666666702</v>
      </c>
      <c r="R83" s="4">
        <v>-1</v>
      </c>
      <c r="S83" s="5">
        <v>45940.316666666702</v>
      </c>
    </row>
    <row r="84" spans="1:19" x14ac:dyDescent="0.3">
      <c r="A84" s="3"/>
      <c r="B84" s="3"/>
      <c r="C84" s="3"/>
      <c r="D84" s="3">
        <v>83</v>
      </c>
      <c r="E84" s="4">
        <v>14960</v>
      </c>
      <c r="F84" s="4">
        <v>1531</v>
      </c>
      <c r="G84" s="3" t="s">
        <v>16</v>
      </c>
      <c r="H84" s="8" t="s">
        <v>388</v>
      </c>
      <c r="I84" s="3"/>
      <c r="J84" s="3" t="s">
        <v>388</v>
      </c>
      <c r="K84" s="3" t="s">
        <v>389</v>
      </c>
      <c r="L84" s="3" t="s">
        <v>390</v>
      </c>
      <c r="M84" s="3" t="s">
        <v>18</v>
      </c>
      <c r="N84" s="3" t="s">
        <v>23</v>
      </c>
      <c r="O84" s="3" t="s">
        <v>20</v>
      </c>
      <c r="P84" s="4">
        <v>1213</v>
      </c>
      <c r="Q84" s="5">
        <v>45957.3034722222</v>
      </c>
      <c r="R84" s="4">
        <v>1213</v>
      </c>
      <c r="S84" s="5">
        <v>45957.382638888899</v>
      </c>
    </row>
    <row r="85" spans="1:19" x14ac:dyDescent="0.3">
      <c r="A85" s="3"/>
      <c r="B85" s="3"/>
      <c r="C85" s="3"/>
      <c r="D85" s="3">
        <v>84</v>
      </c>
      <c r="E85" s="4">
        <v>14961</v>
      </c>
      <c r="F85" s="4">
        <v>1531</v>
      </c>
      <c r="G85" s="3" t="s">
        <v>16</v>
      </c>
      <c r="H85" s="8" t="s">
        <v>391</v>
      </c>
      <c r="I85" s="3"/>
      <c r="J85" s="3" t="s">
        <v>388</v>
      </c>
      <c r="K85" s="3" t="s">
        <v>392</v>
      </c>
      <c r="L85" s="3" t="s">
        <v>393</v>
      </c>
      <c r="M85" s="3" t="s">
        <v>26</v>
      </c>
      <c r="N85" s="3" t="s">
        <v>31</v>
      </c>
      <c r="O85" s="3" t="s">
        <v>20</v>
      </c>
      <c r="P85" s="4">
        <v>1213</v>
      </c>
      <c r="Q85" s="5">
        <v>45957.304166666698</v>
      </c>
      <c r="R85" s="4">
        <v>1213</v>
      </c>
      <c r="S85" s="5">
        <v>46015.068749999999</v>
      </c>
    </row>
    <row r="86" spans="1:19" x14ac:dyDescent="0.3">
      <c r="A86" s="3"/>
      <c r="B86" s="3"/>
      <c r="C86" s="3"/>
      <c r="D86" s="3">
        <v>85</v>
      </c>
      <c r="E86" s="4">
        <v>14962</v>
      </c>
      <c r="F86" s="4">
        <v>1531</v>
      </c>
      <c r="G86" s="3" t="s">
        <v>16</v>
      </c>
      <c r="H86" s="8" t="s">
        <v>394</v>
      </c>
      <c r="I86" s="3"/>
      <c r="J86" s="3" t="s">
        <v>394</v>
      </c>
      <c r="K86" s="3" t="s">
        <v>395</v>
      </c>
      <c r="L86" s="3" t="s">
        <v>396</v>
      </c>
      <c r="M86" s="3" t="s">
        <v>18</v>
      </c>
      <c r="N86" s="3" t="s">
        <v>23</v>
      </c>
      <c r="O86" s="3" t="s">
        <v>20</v>
      </c>
      <c r="P86" s="4">
        <v>1213</v>
      </c>
      <c r="Q86" s="5">
        <v>45957.319444444402</v>
      </c>
      <c r="R86" s="4">
        <v>1213</v>
      </c>
      <c r="S86" s="5">
        <v>45957.383333333302</v>
      </c>
    </row>
    <row r="87" spans="1:19" x14ac:dyDescent="0.3">
      <c r="A87" s="3"/>
      <c r="B87" s="3"/>
      <c r="C87" s="3"/>
      <c r="D87" s="3">
        <v>86</v>
      </c>
      <c r="E87" s="4">
        <v>14963</v>
      </c>
      <c r="F87" s="4">
        <v>1531</v>
      </c>
      <c r="G87" s="3" t="s">
        <v>16</v>
      </c>
      <c r="H87" s="8" t="s">
        <v>397</v>
      </c>
      <c r="I87" s="3"/>
      <c r="J87" s="3" t="s">
        <v>394</v>
      </c>
      <c r="K87" s="3" t="s">
        <v>398</v>
      </c>
      <c r="L87" s="3" t="s">
        <v>399</v>
      </c>
      <c r="M87" s="3" t="s">
        <v>26</v>
      </c>
      <c r="N87" s="3" t="s">
        <v>31</v>
      </c>
      <c r="O87" s="3" t="s">
        <v>20</v>
      </c>
      <c r="P87" s="4">
        <v>1213</v>
      </c>
      <c r="Q87" s="5">
        <v>45957.320833333302</v>
      </c>
      <c r="R87" s="4">
        <v>1213</v>
      </c>
      <c r="S87" s="5">
        <v>45957.3840277778</v>
      </c>
    </row>
    <row r="88" spans="1:19" x14ac:dyDescent="0.3">
      <c r="A88" s="3"/>
      <c r="B88" s="3"/>
      <c r="C88" s="3"/>
      <c r="D88" s="3">
        <v>87</v>
      </c>
      <c r="E88" s="4">
        <v>14819</v>
      </c>
      <c r="F88" s="4">
        <v>1531</v>
      </c>
      <c r="G88" s="3" t="s">
        <v>16</v>
      </c>
      <c r="H88" s="8" t="s">
        <v>400</v>
      </c>
      <c r="I88" s="3"/>
      <c r="J88" s="3" t="s">
        <v>400</v>
      </c>
      <c r="K88" s="3" t="s">
        <v>401</v>
      </c>
      <c r="L88" s="3" t="s">
        <v>402</v>
      </c>
      <c r="M88" s="3" t="s">
        <v>18</v>
      </c>
      <c r="N88" s="3" t="s">
        <v>23</v>
      </c>
      <c r="O88" s="3" t="s">
        <v>20</v>
      </c>
      <c r="P88" s="4">
        <v>1213</v>
      </c>
      <c r="Q88" s="5">
        <v>45915.161805555603</v>
      </c>
      <c r="R88" s="4">
        <v>-1</v>
      </c>
      <c r="S88" s="5">
        <v>45915.161805555603</v>
      </c>
    </row>
    <row r="89" spans="1:19" x14ac:dyDescent="0.3">
      <c r="A89" s="3"/>
      <c r="B89" s="3"/>
      <c r="C89" s="3"/>
      <c r="D89" s="3">
        <v>88</v>
      </c>
      <c r="E89" s="4">
        <v>14820</v>
      </c>
      <c r="F89" s="4">
        <v>1531</v>
      </c>
      <c r="G89" s="3" t="s">
        <v>16</v>
      </c>
      <c r="H89" s="8" t="s">
        <v>403</v>
      </c>
      <c r="I89" s="3"/>
      <c r="J89" s="3" t="s">
        <v>400</v>
      </c>
      <c r="K89" s="3" t="s">
        <v>404</v>
      </c>
      <c r="L89" s="3" t="s">
        <v>405</v>
      </c>
      <c r="M89" s="3" t="s">
        <v>26</v>
      </c>
      <c r="N89" s="3" t="s">
        <v>31</v>
      </c>
      <c r="O89" s="3" t="s">
        <v>20</v>
      </c>
      <c r="P89" s="4">
        <v>1213</v>
      </c>
      <c r="Q89" s="5">
        <v>45915.162499999999</v>
      </c>
      <c r="R89" s="4">
        <v>1213</v>
      </c>
      <c r="S89" s="5">
        <v>45915.203472222202</v>
      </c>
    </row>
    <row r="90" spans="1:19" x14ac:dyDescent="0.3">
      <c r="A90" s="3"/>
      <c r="B90" s="3"/>
      <c r="C90" s="3"/>
      <c r="D90" s="3">
        <v>89</v>
      </c>
      <c r="E90" s="4">
        <v>14958</v>
      </c>
      <c r="F90" s="4">
        <v>1531</v>
      </c>
      <c r="G90" s="3" t="s">
        <v>16</v>
      </c>
      <c r="H90" s="8" t="s">
        <v>406</v>
      </c>
      <c r="I90" s="3"/>
      <c r="J90" s="3" t="s">
        <v>406</v>
      </c>
      <c r="K90" s="3" t="s">
        <v>407</v>
      </c>
      <c r="L90" s="3" t="s">
        <v>408</v>
      </c>
      <c r="M90" s="3" t="s">
        <v>18</v>
      </c>
      <c r="N90" s="3" t="s">
        <v>23</v>
      </c>
      <c r="O90" s="3" t="s">
        <v>20</v>
      </c>
      <c r="P90" s="4">
        <v>1213</v>
      </c>
      <c r="Q90" s="5">
        <v>45957.059027777803</v>
      </c>
      <c r="R90" s="4">
        <v>-1</v>
      </c>
      <c r="S90" s="5">
        <v>45957.059027777803</v>
      </c>
    </row>
    <row r="91" spans="1:19" x14ac:dyDescent="0.3">
      <c r="A91" s="3"/>
      <c r="B91" s="3"/>
      <c r="C91" s="3"/>
      <c r="D91" s="3">
        <v>90</v>
      </c>
      <c r="E91" s="4">
        <v>14959</v>
      </c>
      <c r="F91" s="4">
        <v>1531</v>
      </c>
      <c r="G91" s="3" t="s">
        <v>16</v>
      </c>
      <c r="H91" s="8" t="s">
        <v>409</v>
      </c>
      <c r="I91" s="3"/>
      <c r="J91" s="3" t="s">
        <v>406</v>
      </c>
      <c r="K91" s="3" t="s">
        <v>410</v>
      </c>
      <c r="L91" s="3" t="s">
        <v>411</v>
      </c>
      <c r="M91" s="3" t="s">
        <v>26</v>
      </c>
      <c r="N91" s="3" t="s">
        <v>31</v>
      </c>
      <c r="O91" s="3" t="s">
        <v>20</v>
      </c>
      <c r="P91" s="4">
        <v>1213</v>
      </c>
      <c r="Q91" s="5">
        <v>45957.059722222199</v>
      </c>
      <c r="R91" s="4">
        <v>-1</v>
      </c>
      <c r="S91" s="5">
        <v>45957.059722222199</v>
      </c>
    </row>
    <row r="92" spans="1:19" x14ac:dyDescent="0.3">
      <c r="A92" s="3"/>
      <c r="B92" s="3"/>
      <c r="C92" s="3"/>
      <c r="D92" s="3">
        <v>91</v>
      </c>
      <c r="E92" s="4">
        <v>14821</v>
      </c>
      <c r="F92" s="4">
        <v>1531</v>
      </c>
      <c r="G92" s="3" t="s">
        <v>16</v>
      </c>
      <c r="H92" s="8" t="s">
        <v>412</v>
      </c>
      <c r="I92" s="3"/>
      <c r="J92" s="3" t="s">
        <v>412</v>
      </c>
      <c r="K92" s="3" t="s">
        <v>413</v>
      </c>
      <c r="L92" s="3" t="s">
        <v>414</v>
      </c>
      <c r="M92" s="3" t="s">
        <v>18</v>
      </c>
      <c r="N92" s="3" t="s">
        <v>23</v>
      </c>
      <c r="O92" s="3" t="s">
        <v>20</v>
      </c>
      <c r="P92" s="4">
        <v>1213</v>
      </c>
      <c r="Q92" s="5">
        <v>45915.163194444402</v>
      </c>
      <c r="R92" s="4">
        <v>-1</v>
      </c>
      <c r="S92" s="5">
        <v>45915.163194444402</v>
      </c>
    </row>
    <row r="93" spans="1:19" x14ac:dyDescent="0.3">
      <c r="A93" s="3"/>
      <c r="B93" s="3"/>
      <c r="C93" s="3"/>
      <c r="D93" s="3">
        <v>92</v>
      </c>
      <c r="E93" s="4">
        <v>14822</v>
      </c>
      <c r="F93" s="4">
        <v>1531</v>
      </c>
      <c r="G93" s="3" t="s">
        <v>16</v>
      </c>
      <c r="H93" s="8" t="s">
        <v>415</v>
      </c>
      <c r="I93" s="3"/>
      <c r="J93" s="3" t="s">
        <v>412</v>
      </c>
      <c r="K93" s="3" t="s">
        <v>416</v>
      </c>
      <c r="L93" s="3" t="s">
        <v>405</v>
      </c>
      <c r="M93" s="3" t="s">
        <v>26</v>
      </c>
      <c r="N93" s="3" t="s">
        <v>31</v>
      </c>
      <c r="O93" s="3" t="s">
        <v>20</v>
      </c>
      <c r="P93" s="4">
        <v>1213</v>
      </c>
      <c r="Q93" s="5">
        <v>45915.163194444402</v>
      </c>
      <c r="R93" s="4">
        <v>1213</v>
      </c>
      <c r="S93" s="5">
        <v>45915.203472222202</v>
      </c>
    </row>
    <row r="94" spans="1:19" x14ac:dyDescent="0.3">
      <c r="A94" s="3"/>
      <c r="B94" s="3"/>
      <c r="C94" s="3"/>
      <c r="D94" s="3">
        <v>93</v>
      </c>
      <c r="E94" s="4">
        <v>15022</v>
      </c>
      <c r="F94" s="4">
        <v>1531</v>
      </c>
      <c r="G94" s="3" t="s">
        <v>16</v>
      </c>
      <c r="H94" s="8" t="s">
        <v>424</v>
      </c>
      <c r="I94" s="3"/>
      <c r="J94" s="3" t="s">
        <v>424</v>
      </c>
      <c r="K94" s="3" t="s">
        <v>426</v>
      </c>
      <c r="L94" s="3" t="s">
        <v>426</v>
      </c>
      <c r="M94" s="3" t="s">
        <v>18</v>
      </c>
      <c r="N94" s="3" t="s">
        <v>23</v>
      </c>
      <c r="O94" s="3" t="s">
        <v>20</v>
      </c>
      <c r="P94" s="4">
        <v>1213</v>
      </c>
      <c r="Q94" s="5">
        <v>45992.1069444444</v>
      </c>
      <c r="R94" s="4">
        <v>1213</v>
      </c>
      <c r="S94" s="5">
        <v>45993.189583333296</v>
      </c>
    </row>
    <row r="95" spans="1:19" x14ac:dyDescent="0.3">
      <c r="A95" s="3"/>
      <c r="B95" s="3"/>
      <c r="C95" s="3"/>
      <c r="D95" s="3">
        <v>94</v>
      </c>
      <c r="E95" s="4">
        <v>14980</v>
      </c>
      <c r="F95" s="4">
        <v>1531</v>
      </c>
      <c r="G95" s="3" t="s">
        <v>16</v>
      </c>
      <c r="H95" s="8" t="s">
        <v>423</v>
      </c>
      <c r="I95" s="3"/>
      <c r="J95" s="3" t="s">
        <v>424</v>
      </c>
      <c r="K95" s="3" t="s">
        <v>425</v>
      </c>
      <c r="L95" s="3" t="s">
        <v>425</v>
      </c>
      <c r="M95" s="3" t="s">
        <v>26</v>
      </c>
      <c r="N95" s="3" t="s">
        <v>31</v>
      </c>
      <c r="O95" s="3" t="s">
        <v>20</v>
      </c>
      <c r="P95" s="4">
        <v>1213</v>
      </c>
      <c r="Q95" s="5">
        <v>45968.184027777803</v>
      </c>
      <c r="R95" s="4">
        <v>1213</v>
      </c>
      <c r="S95" s="5">
        <v>45993.186111111099</v>
      </c>
    </row>
    <row r="96" spans="1:19" x14ac:dyDescent="0.3">
      <c r="A96" s="3"/>
      <c r="B96" s="3"/>
      <c r="C96" s="3"/>
      <c r="D96" s="3">
        <v>95</v>
      </c>
      <c r="E96" s="4">
        <v>15030</v>
      </c>
      <c r="F96" s="4">
        <v>1531</v>
      </c>
      <c r="G96" s="3" t="s">
        <v>16</v>
      </c>
      <c r="H96" s="8" t="s">
        <v>427</v>
      </c>
      <c r="I96" s="3"/>
      <c r="J96" s="3" t="s">
        <v>427</v>
      </c>
      <c r="K96" s="3" t="s">
        <v>364</v>
      </c>
      <c r="L96" s="3" t="s">
        <v>364</v>
      </c>
      <c r="M96" s="3" t="s">
        <v>18</v>
      </c>
      <c r="N96" s="3" t="s">
        <v>23</v>
      </c>
      <c r="O96" s="3" t="s">
        <v>20</v>
      </c>
      <c r="P96" s="4">
        <v>1213</v>
      </c>
      <c r="Q96" s="5">
        <v>45992.109027777798</v>
      </c>
      <c r="R96" s="4">
        <v>1213</v>
      </c>
      <c r="S96" s="5">
        <v>45993.190277777801</v>
      </c>
    </row>
    <row r="97" spans="1:19" x14ac:dyDescent="0.3">
      <c r="A97" s="3"/>
      <c r="B97" s="3"/>
      <c r="C97" s="3"/>
      <c r="D97" s="3">
        <v>96</v>
      </c>
      <c r="E97" s="4">
        <v>15037</v>
      </c>
      <c r="F97" s="4">
        <v>1531</v>
      </c>
      <c r="G97" s="3" t="s">
        <v>16</v>
      </c>
      <c r="H97" s="8" t="s">
        <v>428</v>
      </c>
      <c r="I97" s="3"/>
      <c r="J97" s="3" t="s">
        <v>427</v>
      </c>
      <c r="K97" s="3" t="s">
        <v>429</v>
      </c>
      <c r="L97" s="3" t="s">
        <v>429</v>
      </c>
      <c r="M97" s="3" t="s">
        <v>26</v>
      </c>
      <c r="N97" s="3" t="s">
        <v>31</v>
      </c>
      <c r="O97" s="3" t="s">
        <v>20</v>
      </c>
      <c r="P97" s="4">
        <v>1213</v>
      </c>
      <c r="Q97" s="5">
        <v>45992.1159722222</v>
      </c>
      <c r="R97" s="4">
        <v>1213</v>
      </c>
      <c r="S97" s="5">
        <v>45993.188888888901</v>
      </c>
    </row>
    <row r="98" spans="1:19" x14ac:dyDescent="0.3">
      <c r="A98" s="3"/>
      <c r="B98" s="3"/>
      <c r="C98" s="3"/>
      <c r="D98" s="3">
        <v>97</v>
      </c>
      <c r="E98" s="4">
        <v>15027</v>
      </c>
      <c r="F98" s="4">
        <v>1531</v>
      </c>
      <c r="G98" s="3" t="s">
        <v>16</v>
      </c>
      <c r="H98" s="8" t="s">
        <v>430</v>
      </c>
      <c r="I98" s="3"/>
      <c r="J98" s="3" t="s">
        <v>430</v>
      </c>
      <c r="K98" s="3" t="s">
        <v>431</v>
      </c>
      <c r="L98" s="3" t="s">
        <v>431</v>
      </c>
      <c r="M98" s="3" t="s">
        <v>18</v>
      </c>
      <c r="N98" s="3" t="s">
        <v>23</v>
      </c>
      <c r="O98" s="3" t="s">
        <v>20</v>
      </c>
      <c r="P98" s="4">
        <v>1213</v>
      </c>
      <c r="Q98" s="5">
        <v>45992.108333333301</v>
      </c>
      <c r="R98" s="4">
        <v>1213</v>
      </c>
      <c r="S98" s="5">
        <v>45993.189583333296</v>
      </c>
    </row>
    <row r="99" spans="1:19" x14ac:dyDescent="0.3">
      <c r="A99" s="3"/>
      <c r="B99" s="3"/>
      <c r="C99" s="3"/>
      <c r="D99" s="3">
        <v>98</v>
      </c>
      <c r="E99" s="4">
        <v>15034</v>
      </c>
      <c r="F99" s="4">
        <v>1531</v>
      </c>
      <c r="G99" s="3" t="s">
        <v>16</v>
      </c>
      <c r="H99" s="8" t="s">
        <v>432</v>
      </c>
      <c r="I99" s="3"/>
      <c r="J99" s="3" t="s">
        <v>430</v>
      </c>
      <c r="K99" s="3" t="s">
        <v>433</v>
      </c>
      <c r="L99" s="3" t="s">
        <v>433</v>
      </c>
      <c r="M99" s="3" t="s">
        <v>26</v>
      </c>
      <c r="N99" s="3" t="s">
        <v>31</v>
      </c>
      <c r="O99" s="3" t="s">
        <v>20</v>
      </c>
      <c r="P99" s="4">
        <v>1213</v>
      </c>
      <c r="Q99" s="5">
        <v>45992.114583333299</v>
      </c>
      <c r="R99" s="4">
        <v>1213</v>
      </c>
      <c r="S99" s="5">
        <v>45993.186805555597</v>
      </c>
    </row>
    <row r="100" spans="1:19" x14ac:dyDescent="0.3">
      <c r="A100" s="3"/>
      <c r="B100" s="3"/>
      <c r="C100" s="3"/>
      <c r="D100" s="3">
        <v>99</v>
      </c>
      <c r="E100" s="4">
        <v>15029</v>
      </c>
      <c r="F100" s="4">
        <v>1531</v>
      </c>
      <c r="G100" s="3" t="s">
        <v>16</v>
      </c>
      <c r="H100" s="8" t="s">
        <v>434</v>
      </c>
      <c r="I100" s="3"/>
      <c r="J100" s="3" t="s">
        <v>434</v>
      </c>
      <c r="K100" s="3" t="s">
        <v>435</v>
      </c>
      <c r="L100" s="3" t="s">
        <v>435</v>
      </c>
      <c r="M100" s="3" t="s">
        <v>18</v>
      </c>
      <c r="N100" s="3" t="s">
        <v>23</v>
      </c>
      <c r="O100" s="3" t="s">
        <v>20</v>
      </c>
      <c r="P100" s="4">
        <v>1213</v>
      </c>
      <c r="Q100" s="5">
        <v>45992.108333333301</v>
      </c>
      <c r="R100" s="4">
        <v>1213</v>
      </c>
      <c r="S100" s="5">
        <v>45993.189583333296</v>
      </c>
    </row>
    <row r="101" spans="1:19" x14ac:dyDescent="0.3">
      <c r="A101" s="3"/>
      <c r="B101" s="3"/>
      <c r="C101" s="3"/>
      <c r="D101" s="3">
        <v>100</v>
      </c>
      <c r="E101" s="4">
        <v>15036</v>
      </c>
      <c r="F101" s="4">
        <v>1531</v>
      </c>
      <c r="G101" s="3" t="s">
        <v>16</v>
      </c>
      <c r="H101" s="8" t="s">
        <v>436</v>
      </c>
      <c r="I101" s="3"/>
      <c r="J101" s="3" t="s">
        <v>434</v>
      </c>
      <c r="K101" s="3" t="s">
        <v>437</v>
      </c>
      <c r="L101" s="3" t="s">
        <v>437</v>
      </c>
      <c r="M101" s="3" t="s">
        <v>26</v>
      </c>
      <c r="N101" s="3" t="s">
        <v>31</v>
      </c>
      <c r="O101" s="3" t="s">
        <v>20</v>
      </c>
      <c r="P101" s="4">
        <v>1213</v>
      </c>
      <c r="Q101" s="5">
        <v>45992.115277777797</v>
      </c>
      <c r="R101" s="4">
        <v>1213</v>
      </c>
      <c r="S101" s="5">
        <v>45993.188888888901</v>
      </c>
    </row>
    <row r="102" spans="1:19" x14ac:dyDescent="0.3">
      <c r="A102" s="3"/>
      <c r="B102" s="3"/>
      <c r="C102" s="3"/>
      <c r="D102" s="3">
        <v>101</v>
      </c>
      <c r="E102" s="4">
        <v>15025</v>
      </c>
      <c r="F102" s="4">
        <v>1531</v>
      </c>
      <c r="G102" s="3" t="s">
        <v>16</v>
      </c>
      <c r="H102" s="8" t="s">
        <v>438</v>
      </c>
      <c r="I102" s="3"/>
      <c r="J102" s="3" t="s">
        <v>438</v>
      </c>
      <c r="K102" s="3" t="s">
        <v>439</v>
      </c>
      <c r="L102" s="3" t="s">
        <v>439</v>
      </c>
      <c r="M102" s="3" t="s">
        <v>18</v>
      </c>
      <c r="N102" s="3" t="s">
        <v>23</v>
      </c>
      <c r="O102" s="3" t="s">
        <v>20</v>
      </c>
      <c r="P102" s="4">
        <v>1213</v>
      </c>
      <c r="Q102" s="5">
        <v>45992.107638888898</v>
      </c>
      <c r="R102" s="4">
        <v>1213</v>
      </c>
      <c r="S102" s="5">
        <v>45993.189583333296</v>
      </c>
    </row>
    <row r="103" spans="1:19" x14ac:dyDescent="0.3">
      <c r="A103" s="3"/>
      <c r="B103" s="3"/>
      <c r="C103" s="3"/>
      <c r="D103" s="3">
        <v>102</v>
      </c>
      <c r="E103" s="4">
        <v>15032</v>
      </c>
      <c r="F103" s="4">
        <v>1531</v>
      </c>
      <c r="G103" s="3" t="s">
        <v>16</v>
      </c>
      <c r="H103" s="8" t="s">
        <v>440</v>
      </c>
      <c r="I103" s="3"/>
      <c r="J103" s="3" t="s">
        <v>438</v>
      </c>
      <c r="K103" s="3" t="s">
        <v>441</v>
      </c>
      <c r="L103" s="3" t="s">
        <v>441</v>
      </c>
      <c r="M103" s="3" t="s">
        <v>26</v>
      </c>
      <c r="N103" s="3" t="s">
        <v>31</v>
      </c>
      <c r="O103" s="3" t="s">
        <v>20</v>
      </c>
      <c r="P103" s="4">
        <v>1213</v>
      </c>
      <c r="Q103" s="5">
        <v>45992.114583333299</v>
      </c>
      <c r="R103" s="4">
        <v>1213</v>
      </c>
      <c r="S103" s="5">
        <v>45993.186805555597</v>
      </c>
    </row>
    <row r="104" spans="1:19" x14ac:dyDescent="0.3">
      <c r="A104" s="3"/>
      <c r="B104" s="3"/>
      <c r="C104" s="3"/>
      <c r="D104" s="3">
        <v>103</v>
      </c>
      <c r="E104" s="4">
        <v>15028</v>
      </c>
      <c r="F104" s="4">
        <v>1531</v>
      </c>
      <c r="G104" s="3" t="s">
        <v>16</v>
      </c>
      <c r="H104" s="8" t="s">
        <v>442</v>
      </c>
      <c r="I104" s="3"/>
      <c r="J104" s="3" t="s">
        <v>442</v>
      </c>
      <c r="K104" s="3" t="s">
        <v>443</v>
      </c>
      <c r="L104" s="3" t="s">
        <v>443</v>
      </c>
      <c r="M104" s="3" t="s">
        <v>18</v>
      </c>
      <c r="N104" s="3" t="s">
        <v>23</v>
      </c>
      <c r="O104" s="3" t="s">
        <v>20</v>
      </c>
      <c r="P104" s="4">
        <v>1213</v>
      </c>
      <c r="Q104" s="5">
        <v>45992.108333333301</v>
      </c>
      <c r="R104" s="4">
        <v>1213</v>
      </c>
      <c r="S104" s="5">
        <v>45993.189583333296</v>
      </c>
    </row>
    <row r="105" spans="1:19" x14ac:dyDescent="0.3">
      <c r="A105" s="3"/>
      <c r="B105" s="3"/>
      <c r="C105" s="3"/>
      <c r="D105" s="3">
        <v>104</v>
      </c>
      <c r="E105" s="4">
        <v>15035</v>
      </c>
      <c r="F105" s="4">
        <v>1531</v>
      </c>
      <c r="G105" s="3" t="s">
        <v>16</v>
      </c>
      <c r="H105" s="8" t="s">
        <v>444</v>
      </c>
      <c r="I105" s="3"/>
      <c r="J105" s="3" t="s">
        <v>442</v>
      </c>
      <c r="K105" s="3" t="s">
        <v>445</v>
      </c>
      <c r="L105" s="3" t="s">
        <v>445</v>
      </c>
      <c r="M105" s="3" t="s">
        <v>26</v>
      </c>
      <c r="N105" s="3" t="s">
        <v>31</v>
      </c>
      <c r="O105" s="3" t="s">
        <v>20</v>
      </c>
      <c r="P105" s="4">
        <v>1213</v>
      </c>
      <c r="Q105" s="5">
        <v>45992.115277777797</v>
      </c>
      <c r="R105" s="4">
        <v>1213</v>
      </c>
      <c r="S105" s="5">
        <v>45993.188888888901</v>
      </c>
    </row>
    <row r="106" spans="1:19" x14ac:dyDescent="0.3">
      <c r="A106" s="3"/>
      <c r="B106" s="3"/>
      <c r="C106" s="3"/>
      <c r="D106" s="3">
        <v>105</v>
      </c>
      <c r="E106" s="4">
        <v>15024</v>
      </c>
      <c r="F106" s="4">
        <v>1531</v>
      </c>
      <c r="G106" s="3" t="s">
        <v>16</v>
      </c>
      <c r="H106" s="8" t="s">
        <v>446</v>
      </c>
      <c r="I106" s="3"/>
      <c r="J106" s="3" t="s">
        <v>446</v>
      </c>
      <c r="K106" s="3" t="s">
        <v>447</v>
      </c>
      <c r="L106" s="3" t="s">
        <v>447</v>
      </c>
      <c r="M106" s="3" t="s">
        <v>18</v>
      </c>
      <c r="N106" s="3" t="s">
        <v>23</v>
      </c>
      <c r="O106" s="3" t="s">
        <v>20</v>
      </c>
      <c r="P106" s="4">
        <v>1213</v>
      </c>
      <c r="Q106" s="5">
        <v>45992.107638888898</v>
      </c>
      <c r="R106" s="4">
        <v>1213</v>
      </c>
      <c r="S106" s="5">
        <v>45993.189583333296</v>
      </c>
    </row>
    <row r="107" spans="1:19" x14ac:dyDescent="0.3">
      <c r="A107" s="3"/>
      <c r="B107" s="3"/>
      <c r="C107" s="3"/>
      <c r="D107" s="3">
        <v>106</v>
      </c>
      <c r="E107" s="4">
        <v>15031</v>
      </c>
      <c r="F107" s="4">
        <v>1531</v>
      </c>
      <c r="G107" s="3" t="s">
        <v>16</v>
      </c>
      <c r="H107" s="8" t="s">
        <v>448</v>
      </c>
      <c r="I107" s="3"/>
      <c r="J107" s="3" t="s">
        <v>446</v>
      </c>
      <c r="K107" s="3" t="s">
        <v>449</v>
      </c>
      <c r="L107" s="3" t="s">
        <v>449</v>
      </c>
      <c r="M107" s="3" t="s">
        <v>26</v>
      </c>
      <c r="N107" s="3" t="s">
        <v>31</v>
      </c>
      <c r="O107" s="3" t="s">
        <v>20</v>
      </c>
      <c r="P107" s="4">
        <v>1213</v>
      </c>
      <c r="Q107" s="5">
        <v>45992.113888888904</v>
      </c>
      <c r="R107" s="4">
        <v>1213</v>
      </c>
      <c r="S107" s="5">
        <v>45993.186805555597</v>
      </c>
    </row>
    <row r="108" spans="1:19" x14ac:dyDescent="0.3">
      <c r="A108" s="3"/>
      <c r="B108" s="3"/>
      <c r="C108" s="3"/>
      <c r="D108" s="3">
        <v>107</v>
      </c>
      <c r="E108" s="4">
        <v>15026</v>
      </c>
      <c r="F108" s="4">
        <v>1531</v>
      </c>
      <c r="G108" s="3" t="s">
        <v>16</v>
      </c>
      <c r="H108" s="8" t="s">
        <v>453</v>
      </c>
      <c r="I108" s="3"/>
      <c r="J108" s="3" t="s">
        <v>453</v>
      </c>
      <c r="K108" s="3" t="s">
        <v>454</v>
      </c>
      <c r="L108" s="3" t="s">
        <v>454</v>
      </c>
      <c r="M108" s="3" t="s">
        <v>18</v>
      </c>
      <c r="N108" s="3" t="s">
        <v>23</v>
      </c>
      <c r="O108" s="3" t="s">
        <v>20</v>
      </c>
      <c r="P108" s="4">
        <v>1213</v>
      </c>
      <c r="Q108" s="5">
        <v>45992.108333333301</v>
      </c>
      <c r="R108" s="4">
        <v>1213</v>
      </c>
      <c r="S108" s="5">
        <v>45993.189583333296</v>
      </c>
    </row>
    <row r="109" spans="1:19" x14ac:dyDescent="0.3">
      <c r="A109" s="3"/>
      <c r="B109" s="3"/>
      <c r="C109" s="3"/>
      <c r="D109" s="3">
        <v>108</v>
      </c>
      <c r="E109" s="4">
        <v>15033</v>
      </c>
      <c r="F109" s="4">
        <v>1531</v>
      </c>
      <c r="G109" s="3" t="s">
        <v>16</v>
      </c>
      <c r="H109" s="8" t="s">
        <v>455</v>
      </c>
      <c r="I109" s="3"/>
      <c r="J109" s="3" t="s">
        <v>453</v>
      </c>
      <c r="K109" s="3" t="s">
        <v>456</v>
      </c>
      <c r="L109" s="3" t="s">
        <v>456</v>
      </c>
      <c r="M109" s="3" t="s">
        <v>26</v>
      </c>
      <c r="N109" s="3" t="s">
        <v>31</v>
      </c>
      <c r="O109" s="3" t="s">
        <v>20</v>
      </c>
      <c r="P109" s="4">
        <v>1213</v>
      </c>
      <c r="Q109" s="5">
        <v>45992.114583333299</v>
      </c>
      <c r="R109" s="4">
        <v>1213</v>
      </c>
      <c r="S109" s="5">
        <v>45993.186805555597</v>
      </c>
    </row>
    <row r="110" spans="1:19" x14ac:dyDescent="0.3">
      <c r="A110" s="3"/>
      <c r="B110" s="3"/>
      <c r="C110" s="3"/>
      <c r="D110" s="3">
        <v>109</v>
      </c>
      <c r="E110" s="4">
        <v>15021</v>
      </c>
      <c r="F110" s="4">
        <v>1531</v>
      </c>
      <c r="G110" s="3" t="s">
        <v>16</v>
      </c>
      <c r="H110" s="8" t="s">
        <v>458</v>
      </c>
      <c r="I110" s="3"/>
      <c r="J110" s="3" t="s">
        <v>458</v>
      </c>
      <c r="K110" s="3" t="s">
        <v>460</v>
      </c>
      <c r="L110" s="3" t="s">
        <v>461</v>
      </c>
      <c r="M110" s="3" t="s">
        <v>18</v>
      </c>
      <c r="N110" s="3" t="s">
        <v>23</v>
      </c>
      <c r="O110" s="3" t="s">
        <v>20</v>
      </c>
      <c r="P110" s="4">
        <v>1213</v>
      </c>
      <c r="Q110" s="5">
        <v>45992.1069444444</v>
      </c>
      <c r="R110" s="4">
        <v>1213</v>
      </c>
      <c r="S110" s="5">
        <v>45993.188888888901</v>
      </c>
    </row>
    <row r="111" spans="1:19" x14ac:dyDescent="0.3">
      <c r="A111" s="3"/>
      <c r="B111" s="3"/>
      <c r="C111" s="3"/>
      <c r="D111" s="3">
        <v>110</v>
      </c>
      <c r="E111" s="4">
        <v>14979</v>
      </c>
      <c r="F111" s="4">
        <v>1531</v>
      </c>
      <c r="G111" s="3" t="s">
        <v>16</v>
      </c>
      <c r="H111" s="8" t="s">
        <v>457</v>
      </c>
      <c r="I111" s="3"/>
      <c r="J111" s="3" t="s">
        <v>458</v>
      </c>
      <c r="K111" s="3" t="s">
        <v>459</v>
      </c>
      <c r="L111" s="3" t="s">
        <v>459</v>
      </c>
      <c r="M111" s="3" t="s">
        <v>26</v>
      </c>
      <c r="N111" s="3" t="s">
        <v>31</v>
      </c>
      <c r="O111" s="3" t="s">
        <v>20</v>
      </c>
      <c r="P111" s="4">
        <v>1213</v>
      </c>
      <c r="Q111" s="5">
        <v>45968.166666666701</v>
      </c>
      <c r="R111" s="4">
        <v>1213</v>
      </c>
      <c r="S111" s="5">
        <v>45993.186111111099</v>
      </c>
    </row>
    <row r="112" spans="1:19" x14ac:dyDescent="0.3">
      <c r="A112" s="3"/>
      <c r="B112" s="3"/>
      <c r="C112" s="3"/>
      <c r="D112" s="3">
        <v>111</v>
      </c>
      <c r="E112" s="4">
        <v>14981</v>
      </c>
      <c r="F112" s="4">
        <v>1531</v>
      </c>
      <c r="G112" s="3" t="s">
        <v>16</v>
      </c>
      <c r="H112" s="8" t="s">
        <v>462</v>
      </c>
      <c r="I112" s="3"/>
      <c r="J112" s="3" t="s">
        <v>463</v>
      </c>
      <c r="K112" s="3" t="s">
        <v>464</v>
      </c>
      <c r="L112" s="3" t="s">
        <v>464</v>
      </c>
      <c r="M112" s="3" t="s">
        <v>26</v>
      </c>
      <c r="N112" s="3" t="s">
        <v>31</v>
      </c>
      <c r="O112" s="3" t="s">
        <v>20</v>
      </c>
      <c r="P112" s="4">
        <v>1213</v>
      </c>
      <c r="Q112" s="5">
        <v>45968.186805555597</v>
      </c>
      <c r="R112" s="4">
        <v>1213</v>
      </c>
      <c r="S112" s="5">
        <v>45993.186111111099</v>
      </c>
    </row>
    <row r="113" spans="1:19" x14ac:dyDescent="0.3">
      <c r="A113" s="3"/>
      <c r="B113" s="3"/>
      <c r="C113" s="3"/>
      <c r="D113" s="3"/>
      <c r="E113" s="4">
        <v>15023</v>
      </c>
      <c r="F113" s="4">
        <v>1531</v>
      </c>
      <c r="G113" s="3" t="s">
        <v>16</v>
      </c>
      <c r="H113" s="8" t="s">
        <v>463</v>
      </c>
      <c r="I113" s="3"/>
      <c r="J113" s="3" t="s">
        <v>463</v>
      </c>
      <c r="K113" s="3" t="s">
        <v>413</v>
      </c>
      <c r="L113" s="3" t="s">
        <v>413</v>
      </c>
      <c r="M113" s="3" t="s">
        <v>18</v>
      </c>
      <c r="N113" s="3" t="s">
        <v>23</v>
      </c>
      <c r="O113" s="3" t="s">
        <v>20</v>
      </c>
      <c r="P113" s="4">
        <v>1213</v>
      </c>
      <c r="Q113" s="5">
        <v>45992.1069444444</v>
      </c>
      <c r="R113" s="4">
        <v>1213</v>
      </c>
      <c r="S113" s="5">
        <v>45993.189583333296</v>
      </c>
    </row>
    <row r="114" spans="1:19" x14ac:dyDescent="0.3">
      <c r="A114" s="3"/>
      <c r="B114" s="3"/>
      <c r="C114" s="3"/>
      <c r="D114" s="3"/>
      <c r="E114" s="4">
        <v>14982</v>
      </c>
      <c r="F114" s="4">
        <v>1531</v>
      </c>
      <c r="G114" s="3" t="s">
        <v>16</v>
      </c>
      <c r="H114" s="8" t="s">
        <v>450</v>
      </c>
      <c r="I114" s="3"/>
      <c r="J114" s="3" t="s">
        <v>451</v>
      </c>
      <c r="K114" s="3" t="s">
        <v>452</v>
      </c>
      <c r="L114" s="3" t="s">
        <v>452</v>
      </c>
      <c r="M114" s="3" t="s">
        <v>26</v>
      </c>
      <c r="N114" s="3" t="s">
        <v>31</v>
      </c>
      <c r="O114" s="3" t="s">
        <v>20</v>
      </c>
      <c r="P114" s="4">
        <v>1213</v>
      </c>
      <c r="Q114" s="5">
        <v>45968.186805555597</v>
      </c>
      <c r="R114" s="4">
        <v>-1</v>
      </c>
      <c r="S114" s="5">
        <v>45968.186805555597</v>
      </c>
    </row>
  </sheetData>
  <autoFilter ref="O1:O113" xr:uid="{E9BF3E0B-DCFA-47C2-82AE-71A3E19D8F9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32C3-6197-4BC6-9BE7-3C3FBB3B7EE6}">
  <dimension ref="B1:C69"/>
  <sheetViews>
    <sheetView workbookViewId="0">
      <selection activeCell="C1" sqref="C1"/>
    </sheetView>
  </sheetViews>
  <sheetFormatPr defaultRowHeight="14.4" x14ac:dyDescent="0.3"/>
  <cols>
    <col min="1" max="1" width="23.33203125" bestFit="1" customWidth="1"/>
    <col min="2" max="2" width="21.21875" bestFit="1" customWidth="1"/>
  </cols>
  <sheetData>
    <row r="1" spans="2:3" x14ac:dyDescent="0.3">
      <c r="B1" t="str" cm="1">
        <f t="array" ref="B1:B69">_xlfn.UNIQUE(Thang08_2026!J13:J114)</f>
        <v>BizProcessB10</v>
      </c>
      <c r="C1" t="str">
        <f>_xlfn.TEXTJOIN(",",TRUE,_xlfn.ANCHORARRAY(B1))</f>
        <v>BizProcessB10,BizProcessDetailB10,BusinessPlan,Def_BusinessPlan,BusinessPlanHN,Def_BusinessPlanHN,BusinessPlanPN,Def_BusinessPlanPN,CapExPlan,CapEx,CashflowPlan,DepreciationRule,EnergyUsedDocE,EnergyUsedDocW,ItemArray,0,ManyAccDocDetail,ManyAccDocDetail_BT,ManyAccDocSales1,ManyAsset,ManyDept,ManyOpenBalance,ManyProduct,ManyZWorkCenter,OpenBiz_LC,PlannedCostResult,PriceCondition,Product_KTKT_DK_RD,PurchaseCost,QTCN,QTCNConfig,SalaryLevelDoc,ScrapDoc,ToolInstr_Future,ToolsDeprAllocRate,WCBT,WCCCDC,WCCpKhac,WCCpVPDH,WCNC,WCNLD,WCNLG,WCNLN,WCNX,WCResult,WCTD,WCTS,WCVay,WCVTP,ZCostOtherDoc_VPDH,ZCritera,ZEnergyDoc,ZEnergyDoc_D_NX,ZItemDoc,ZItemDocCost,ZLandDoc,ZProductDoc,ZSubMaterialDoc,ZWorkCenterDoc_CCDC,ZWorkCenterDoc_CPK,ZWorkCenterDoc_D,ZWorkCenterDoc_G,ZWorkCenterDoc_KHNX,ZWorkCenterDoc_N,ZWorkCenterDoc_NC,ZWorkCenterDoc_TD,ZWorkCenterDoc_TS,ZWorkCenterDoc_VTP,ZWorkCenterDoc_NLCL</v>
      </c>
    </row>
    <row r="2" spans="2:3" x14ac:dyDescent="0.3">
      <c r="B2" t="str">
        <v>BizProcessDetailB10</v>
      </c>
    </row>
    <row r="3" spans="2:3" x14ac:dyDescent="0.3">
      <c r="B3" t="str">
        <v>BusinessPlan</v>
      </c>
    </row>
    <row r="4" spans="2:3" x14ac:dyDescent="0.3">
      <c r="B4" t="str">
        <v>Def_BusinessPlan</v>
      </c>
    </row>
    <row r="5" spans="2:3" x14ac:dyDescent="0.3">
      <c r="B5" t="str">
        <v>BusinessPlanHN</v>
      </c>
    </row>
    <row r="6" spans="2:3" x14ac:dyDescent="0.3">
      <c r="B6" t="str">
        <v>Def_BusinessPlanHN</v>
      </c>
    </row>
    <row r="7" spans="2:3" x14ac:dyDescent="0.3">
      <c r="B7" t="str">
        <v>BusinessPlanPN</v>
      </c>
    </row>
    <row r="8" spans="2:3" x14ac:dyDescent="0.3">
      <c r="B8" t="str">
        <v>Def_BusinessPlanPN</v>
      </c>
    </row>
    <row r="9" spans="2:3" x14ac:dyDescent="0.3">
      <c r="B9" t="str">
        <v>CapExPlan</v>
      </c>
    </row>
    <row r="10" spans="2:3" x14ac:dyDescent="0.3">
      <c r="B10" t="str">
        <v>CapEx</v>
      </c>
    </row>
    <row r="11" spans="2:3" x14ac:dyDescent="0.3">
      <c r="B11" t="str">
        <v>CashflowPlan</v>
      </c>
    </row>
    <row r="12" spans="2:3" x14ac:dyDescent="0.3">
      <c r="B12" t="str">
        <v>DepreciationRule</v>
      </c>
    </row>
    <row r="13" spans="2:3" x14ac:dyDescent="0.3">
      <c r="B13" t="str">
        <v>EnergyUsedDocE</v>
      </c>
    </row>
    <row r="14" spans="2:3" x14ac:dyDescent="0.3">
      <c r="B14" t="str">
        <v>EnergyUsedDocW</v>
      </c>
    </row>
    <row r="15" spans="2:3" x14ac:dyDescent="0.3">
      <c r="B15" t="str">
        <v>ItemArray</v>
      </c>
    </row>
    <row r="16" spans="2:3" x14ac:dyDescent="0.3">
      <c r="B16">
        <v>0</v>
      </c>
    </row>
    <row r="17" spans="2:2" x14ac:dyDescent="0.3">
      <c r="B17" t="str">
        <v>ManyAccDocDetail</v>
      </c>
    </row>
    <row r="18" spans="2:2" x14ac:dyDescent="0.3">
      <c r="B18" t="str">
        <v>ManyAccDocDetail_BT</v>
      </c>
    </row>
    <row r="19" spans="2:2" x14ac:dyDescent="0.3">
      <c r="B19" t="str">
        <v>ManyAccDocSales1</v>
      </c>
    </row>
    <row r="20" spans="2:2" x14ac:dyDescent="0.3">
      <c r="B20" t="str">
        <v>ManyAsset</v>
      </c>
    </row>
    <row r="21" spans="2:2" x14ac:dyDescent="0.3">
      <c r="B21" t="str">
        <v>ManyDept</v>
      </c>
    </row>
    <row r="22" spans="2:2" x14ac:dyDescent="0.3">
      <c r="B22" t="str">
        <v>ManyOpenBalance</v>
      </c>
    </row>
    <row r="23" spans="2:2" x14ac:dyDescent="0.3">
      <c r="B23" t="str">
        <v>ManyProduct</v>
      </c>
    </row>
    <row r="24" spans="2:2" x14ac:dyDescent="0.3">
      <c r="B24" t="str">
        <v>ManyZWorkCenter</v>
      </c>
    </row>
    <row r="25" spans="2:2" x14ac:dyDescent="0.3">
      <c r="B25" t="str">
        <v>OpenBiz_LC</v>
      </c>
    </row>
    <row r="26" spans="2:2" x14ac:dyDescent="0.3">
      <c r="B26" t="str">
        <v>PlannedCostResult</v>
      </c>
    </row>
    <row r="27" spans="2:2" x14ac:dyDescent="0.3">
      <c r="B27" t="str">
        <v>PriceCondition</v>
      </c>
    </row>
    <row r="28" spans="2:2" x14ac:dyDescent="0.3">
      <c r="B28" t="str">
        <v>Product_KTKT_DK_RD</v>
      </c>
    </row>
    <row r="29" spans="2:2" x14ac:dyDescent="0.3">
      <c r="B29" t="str">
        <v>PurchaseCost</v>
      </c>
    </row>
    <row r="30" spans="2:2" x14ac:dyDescent="0.3">
      <c r="B30" t="str">
        <v>QTCN</v>
      </c>
    </row>
    <row r="31" spans="2:2" x14ac:dyDescent="0.3">
      <c r="B31" t="str">
        <v>QTCNConfig</v>
      </c>
    </row>
    <row r="32" spans="2:2" x14ac:dyDescent="0.3">
      <c r="B32" t="str">
        <v>SalaryLevelDoc</v>
      </c>
    </row>
    <row r="33" spans="2:2" x14ac:dyDescent="0.3">
      <c r="B33" t="str">
        <v>ScrapDoc</v>
      </c>
    </row>
    <row r="34" spans="2:2" x14ac:dyDescent="0.3">
      <c r="B34" t="str">
        <v>ToolInstr_Future</v>
      </c>
    </row>
    <row r="35" spans="2:2" x14ac:dyDescent="0.3">
      <c r="B35" t="str">
        <v>ToolsDeprAllocRate</v>
      </c>
    </row>
    <row r="36" spans="2:2" x14ac:dyDescent="0.3">
      <c r="B36" t="str">
        <v>WCBT</v>
      </c>
    </row>
    <row r="37" spans="2:2" x14ac:dyDescent="0.3">
      <c r="B37" t="str">
        <v>WCCCDC</v>
      </c>
    </row>
    <row r="38" spans="2:2" x14ac:dyDescent="0.3">
      <c r="B38" t="str">
        <v>WCCpKhac</v>
      </c>
    </row>
    <row r="39" spans="2:2" x14ac:dyDescent="0.3">
      <c r="B39" t="str">
        <v>WCCpVPDH</v>
      </c>
    </row>
    <row r="40" spans="2:2" x14ac:dyDescent="0.3">
      <c r="B40" t="str">
        <v>WCNC</v>
      </c>
    </row>
    <row r="41" spans="2:2" x14ac:dyDescent="0.3">
      <c r="B41" t="str">
        <v>WCNLD</v>
      </c>
    </row>
    <row r="42" spans="2:2" x14ac:dyDescent="0.3">
      <c r="B42" t="str">
        <v>WCNLG</v>
      </c>
    </row>
    <row r="43" spans="2:2" x14ac:dyDescent="0.3">
      <c r="B43" t="str">
        <v>WCNLN</v>
      </c>
    </row>
    <row r="44" spans="2:2" x14ac:dyDescent="0.3">
      <c r="B44" t="str">
        <v>WCNX</v>
      </c>
    </row>
    <row r="45" spans="2:2" x14ac:dyDescent="0.3">
      <c r="B45" t="str">
        <v>WCResult</v>
      </c>
    </row>
    <row r="46" spans="2:2" x14ac:dyDescent="0.3">
      <c r="B46" t="str">
        <v>WCTD</v>
      </c>
    </row>
    <row r="47" spans="2:2" x14ac:dyDescent="0.3">
      <c r="B47" t="str">
        <v>WCTS</v>
      </c>
    </row>
    <row r="48" spans="2:2" x14ac:dyDescent="0.3">
      <c r="B48" t="str">
        <v>WCVay</v>
      </c>
    </row>
    <row r="49" spans="2:2" x14ac:dyDescent="0.3">
      <c r="B49" t="str">
        <v>WCVTP</v>
      </c>
    </row>
    <row r="50" spans="2:2" x14ac:dyDescent="0.3">
      <c r="B50" t="str">
        <v>ZCostOtherDoc_VPDH</v>
      </c>
    </row>
    <row r="51" spans="2:2" x14ac:dyDescent="0.3">
      <c r="B51" t="str">
        <v>ZCritera</v>
      </c>
    </row>
    <row r="52" spans="2:2" x14ac:dyDescent="0.3">
      <c r="B52" t="str">
        <v>ZEnergyDoc</v>
      </c>
    </row>
    <row r="53" spans="2:2" x14ac:dyDescent="0.3">
      <c r="B53" t="str">
        <v>ZEnergyDoc_D_NX</v>
      </c>
    </row>
    <row r="54" spans="2:2" x14ac:dyDescent="0.3">
      <c r="B54" t="str">
        <v>ZItemDoc</v>
      </c>
    </row>
    <row r="55" spans="2:2" x14ac:dyDescent="0.3">
      <c r="B55" t="str">
        <v>ZItemDocCost</v>
      </c>
    </row>
    <row r="56" spans="2:2" x14ac:dyDescent="0.3">
      <c r="B56" t="str">
        <v>ZLandDoc</v>
      </c>
    </row>
    <row r="57" spans="2:2" x14ac:dyDescent="0.3">
      <c r="B57" t="str">
        <v>ZProductDoc</v>
      </c>
    </row>
    <row r="58" spans="2:2" x14ac:dyDescent="0.3">
      <c r="B58" t="str">
        <v>ZSubMaterialDoc</v>
      </c>
    </row>
    <row r="59" spans="2:2" x14ac:dyDescent="0.3">
      <c r="B59" t="str">
        <v>ZWorkCenterDoc_CCDC</v>
      </c>
    </row>
    <row r="60" spans="2:2" x14ac:dyDescent="0.3">
      <c r="B60" t="str">
        <v>ZWorkCenterDoc_CPK</v>
      </c>
    </row>
    <row r="61" spans="2:2" x14ac:dyDescent="0.3">
      <c r="B61" t="str">
        <v>ZWorkCenterDoc_D</v>
      </c>
    </row>
    <row r="62" spans="2:2" x14ac:dyDescent="0.3">
      <c r="B62" t="str">
        <v>ZWorkCenterDoc_G</v>
      </c>
    </row>
    <row r="63" spans="2:2" x14ac:dyDescent="0.3">
      <c r="B63" t="str">
        <v>ZWorkCenterDoc_KHNX</v>
      </c>
    </row>
    <row r="64" spans="2:2" x14ac:dyDescent="0.3">
      <c r="B64" t="str">
        <v>ZWorkCenterDoc_N</v>
      </c>
    </row>
    <row r="65" spans="2:2" x14ac:dyDescent="0.3">
      <c r="B65" t="str">
        <v>ZWorkCenterDoc_NC</v>
      </c>
    </row>
    <row r="66" spans="2:2" x14ac:dyDescent="0.3">
      <c r="B66" t="str">
        <v>ZWorkCenterDoc_TD</v>
      </c>
    </row>
    <row r="67" spans="2:2" x14ac:dyDescent="0.3">
      <c r="B67" t="str">
        <v>ZWorkCenterDoc_TS</v>
      </c>
    </row>
    <row r="68" spans="2:2" x14ac:dyDescent="0.3">
      <c r="B68" t="str">
        <v>ZWorkCenterDoc_VTP</v>
      </c>
    </row>
    <row r="69" spans="2:2" x14ac:dyDescent="0.3">
      <c r="B69" t="str">
        <v>ZWorkCenterDoc_NLCL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51FE-DBDE-4908-A577-0EEB92A21D3F}">
  <dimension ref="A1:Q77"/>
  <sheetViews>
    <sheetView workbookViewId="0">
      <pane xSplit="7" ySplit="1" topLeftCell="H2" activePane="bottomRight" state="frozen"/>
      <selection pane="topRight" activeCell="E1" sqref="E1"/>
      <selection pane="bottomLeft" activeCell="A2" sqref="A2"/>
      <selection pane="bottomRight" activeCell="A3" sqref="A3"/>
    </sheetView>
  </sheetViews>
  <sheetFormatPr defaultRowHeight="14.4" x14ac:dyDescent="0.3"/>
  <cols>
    <col min="1" max="1" width="3.109375" bestFit="1" customWidth="1"/>
    <col min="2" max="2" width="26.109375" bestFit="1" customWidth="1"/>
    <col min="3" max="3" width="15.88671875" bestFit="1" customWidth="1"/>
    <col min="4" max="4" width="24" bestFit="1" customWidth="1"/>
    <col min="5" max="5" width="6" bestFit="1" customWidth="1"/>
    <col min="6" max="6" width="7.77734375" bestFit="1" customWidth="1"/>
    <col min="7" max="7" width="7.33203125" bestFit="1" customWidth="1"/>
    <col min="8" max="8" width="26.109375" bestFit="1" customWidth="1"/>
    <col min="9" max="9" width="51.21875" bestFit="1" customWidth="1"/>
    <col min="10" max="10" width="51.33203125" bestFit="1" customWidth="1"/>
    <col min="11" max="11" width="10.33203125" bestFit="1" customWidth="1"/>
    <col min="12" max="12" width="70.33203125" bestFit="1" customWidth="1"/>
    <col min="13" max="13" width="7.21875" bestFit="1" customWidth="1"/>
    <col min="14" max="14" width="9.33203125" bestFit="1" customWidth="1"/>
    <col min="15" max="15" width="21.6640625" bestFit="1" customWidth="1"/>
    <col min="16" max="16" width="9.77734375" bestFit="1" customWidth="1"/>
    <col min="17" max="17" width="21.6640625" bestFit="1" customWidth="1"/>
  </cols>
  <sheetData>
    <row r="1" spans="1:17" x14ac:dyDescent="0.3">
      <c r="A1" t="s">
        <v>651</v>
      </c>
      <c r="B1" t="s">
        <v>0</v>
      </c>
      <c r="C1" s="3" t="s">
        <v>466</v>
      </c>
      <c r="D1" s="3" t="s">
        <v>467</v>
      </c>
      <c r="E1" t="s">
        <v>1</v>
      </c>
      <c r="F1" t="s">
        <v>2</v>
      </c>
      <c r="G1" t="s">
        <v>3</v>
      </c>
      <c r="H1" t="s">
        <v>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cm="1">
        <f t="array" ref="A2:A77">_xlfn.SEQUENCE(COUNTA(H2:H77))</f>
        <v>1</v>
      </c>
      <c r="B2" t="s">
        <v>468</v>
      </c>
      <c r="E2" s="1">
        <v>15597</v>
      </c>
      <c r="F2" s="1">
        <v>308</v>
      </c>
      <c r="G2" t="s">
        <v>16</v>
      </c>
      <c r="H2" t="s">
        <v>468</v>
      </c>
      <c r="I2" t="s">
        <v>469</v>
      </c>
      <c r="J2" t="s">
        <v>469</v>
      </c>
      <c r="K2" t="s">
        <v>470</v>
      </c>
      <c r="L2" t="s">
        <v>471</v>
      </c>
      <c r="M2" t="s">
        <v>20</v>
      </c>
      <c r="N2" s="1">
        <v>1213</v>
      </c>
      <c r="O2" s="2">
        <v>46206.168749999997</v>
      </c>
      <c r="P2" s="1">
        <v>1213</v>
      </c>
      <c r="Q2" s="2">
        <v>46206.243055555598</v>
      </c>
    </row>
    <row r="3" spans="1:17" x14ac:dyDescent="0.3">
      <c r="A3">
        <v>2</v>
      </c>
      <c r="B3" t="s">
        <v>472</v>
      </c>
      <c r="E3" s="1">
        <v>15598</v>
      </c>
      <c r="F3" s="1">
        <v>308</v>
      </c>
      <c r="G3" t="s">
        <v>16</v>
      </c>
      <c r="H3" t="s">
        <v>472</v>
      </c>
      <c r="I3" t="s">
        <v>473</v>
      </c>
      <c r="J3" t="s">
        <v>473</v>
      </c>
      <c r="K3" t="s">
        <v>470</v>
      </c>
      <c r="L3" t="s">
        <v>471</v>
      </c>
      <c r="M3" t="s">
        <v>20</v>
      </c>
      <c r="N3" s="1">
        <v>1213</v>
      </c>
      <c r="O3" s="2">
        <v>46206.267361111102</v>
      </c>
      <c r="P3" s="1">
        <v>-1</v>
      </c>
      <c r="Q3" s="2">
        <v>46206.267361111102</v>
      </c>
    </row>
    <row r="4" spans="1:17" x14ac:dyDescent="0.3">
      <c r="A4">
        <v>3</v>
      </c>
      <c r="B4" t="s">
        <v>474</v>
      </c>
      <c r="E4" s="1">
        <v>15611</v>
      </c>
      <c r="F4" s="1">
        <v>247</v>
      </c>
      <c r="G4" t="s">
        <v>16</v>
      </c>
      <c r="H4" t="s">
        <v>474</v>
      </c>
      <c r="I4" t="s">
        <v>475</v>
      </c>
      <c r="J4" t="s">
        <v>475</v>
      </c>
      <c r="K4" t="s">
        <v>470</v>
      </c>
      <c r="L4" t="s">
        <v>476</v>
      </c>
      <c r="M4" t="s">
        <v>20</v>
      </c>
      <c r="N4" s="1">
        <v>1213</v>
      </c>
      <c r="O4" s="2">
        <v>46213.293749999997</v>
      </c>
      <c r="P4" s="1">
        <v>-1</v>
      </c>
      <c r="Q4" s="2">
        <v>46213.293749999997</v>
      </c>
    </row>
    <row r="5" spans="1:17" x14ac:dyDescent="0.3">
      <c r="A5">
        <v>4</v>
      </c>
      <c r="B5" t="s">
        <v>477</v>
      </c>
      <c r="E5" s="1">
        <v>15584</v>
      </c>
      <c r="F5" s="1">
        <v>202</v>
      </c>
      <c r="G5" t="s">
        <v>16</v>
      </c>
      <c r="H5" t="s">
        <v>477</v>
      </c>
      <c r="I5" t="s">
        <v>478</v>
      </c>
      <c r="J5" t="s">
        <v>478</v>
      </c>
      <c r="K5" t="s">
        <v>470</v>
      </c>
      <c r="L5" t="s">
        <v>75</v>
      </c>
      <c r="M5" t="s">
        <v>20</v>
      </c>
      <c r="N5" s="1">
        <v>1213</v>
      </c>
      <c r="O5" s="2">
        <v>46197.288888888899</v>
      </c>
      <c r="P5" s="1">
        <v>-1</v>
      </c>
      <c r="Q5" s="2">
        <v>46197.288888888899</v>
      </c>
    </row>
    <row r="6" spans="1:17" x14ac:dyDescent="0.3">
      <c r="A6">
        <v>5</v>
      </c>
      <c r="B6" t="s">
        <v>479</v>
      </c>
      <c r="E6" s="1">
        <v>15542</v>
      </c>
      <c r="F6" s="1">
        <v>-1</v>
      </c>
      <c r="G6" t="s">
        <v>16</v>
      </c>
      <c r="H6" t="s">
        <v>479</v>
      </c>
      <c r="I6" t="s">
        <v>480</v>
      </c>
      <c r="J6" t="s">
        <v>481</v>
      </c>
      <c r="K6" t="s">
        <v>470</v>
      </c>
      <c r="L6" t="s">
        <v>75</v>
      </c>
      <c r="M6" t="s">
        <v>20</v>
      </c>
      <c r="N6" s="1">
        <v>1213</v>
      </c>
      <c r="O6" s="2">
        <v>46183.609027777798</v>
      </c>
      <c r="P6" s="1">
        <v>-1</v>
      </c>
      <c r="Q6" s="2">
        <v>46183.609027777798</v>
      </c>
    </row>
    <row r="7" spans="1:17" x14ac:dyDescent="0.3">
      <c r="A7">
        <v>6</v>
      </c>
      <c r="B7" t="s">
        <v>482</v>
      </c>
      <c r="E7" s="1">
        <v>15549</v>
      </c>
      <c r="F7" s="1">
        <v>202</v>
      </c>
      <c r="G7" t="s">
        <v>16</v>
      </c>
      <c r="H7" t="s">
        <v>482</v>
      </c>
      <c r="I7" t="s">
        <v>483</v>
      </c>
      <c r="J7" t="s">
        <v>484</v>
      </c>
      <c r="K7" t="s">
        <v>470</v>
      </c>
      <c r="L7" t="s">
        <v>75</v>
      </c>
      <c r="M7" t="s">
        <v>20</v>
      </c>
      <c r="N7" s="1">
        <v>1213</v>
      </c>
      <c r="O7" s="2">
        <v>46185.150694444397</v>
      </c>
      <c r="P7" s="1">
        <v>-1</v>
      </c>
      <c r="Q7" s="2">
        <v>46185.150694444397</v>
      </c>
    </row>
    <row r="8" spans="1:17" x14ac:dyDescent="0.3">
      <c r="A8">
        <v>7</v>
      </c>
      <c r="B8" t="s">
        <v>485</v>
      </c>
      <c r="E8" s="1">
        <v>15610</v>
      </c>
      <c r="F8" s="1">
        <v>247</v>
      </c>
      <c r="G8" t="s">
        <v>16</v>
      </c>
      <c r="H8" t="s">
        <v>485</v>
      </c>
      <c r="I8" t="s">
        <v>486</v>
      </c>
      <c r="J8" t="s">
        <v>486</v>
      </c>
      <c r="K8" t="s">
        <v>470</v>
      </c>
      <c r="L8" t="s">
        <v>75</v>
      </c>
      <c r="M8" t="s">
        <v>20</v>
      </c>
      <c r="N8" s="1">
        <v>1213</v>
      </c>
      <c r="O8" s="2">
        <v>46213.063888888901</v>
      </c>
      <c r="P8" s="1">
        <v>-1</v>
      </c>
      <c r="Q8" s="2">
        <v>46213.063888888901</v>
      </c>
    </row>
    <row r="9" spans="1:17" x14ac:dyDescent="0.3">
      <c r="A9">
        <v>8</v>
      </c>
      <c r="B9" t="s">
        <v>487</v>
      </c>
      <c r="E9" s="1">
        <v>15540</v>
      </c>
      <c r="F9" s="1">
        <v>-1</v>
      </c>
      <c r="G9" t="s">
        <v>16</v>
      </c>
      <c r="H9" t="s">
        <v>487</v>
      </c>
      <c r="I9" t="s">
        <v>488</v>
      </c>
      <c r="J9" t="s">
        <v>489</v>
      </c>
      <c r="K9" t="s">
        <v>470</v>
      </c>
      <c r="L9" t="s">
        <v>75</v>
      </c>
      <c r="M9" t="s">
        <v>20</v>
      </c>
      <c r="N9" s="1">
        <v>1213</v>
      </c>
      <c r="O9" s="2">
        <v>46183.608333333301</v>
      </c>
      <c r="P9" s="1">
        <v>-1</v>
      </c>
      <c r="Q9" s="2">
        <v>46183.608333333301</v>
      </c>
    </row>
    <row r="10" spans="1:17" x14ac:dyDescent="0.3">
      <c r="A10">
        <v>9</v>
      </c>
      <c r="B10" t="s">
        <v>490</v>
      </c>
      <c r="E10" s="1">
        <v>15539</v>
      </c>
      <c r="F10" s="1">
        <v>-1</v>
      </c>
      <c r="G10" t="s">
        <v>16</v>
      </c>
      <c r="H10" t="s">
        <v>490</v>
      </c>
      <c r="I10" t="s">
        <v>491</v>
      </c>
      <c r="J10" t="s">
        <v>489</v>
      </c>
      <c r="K10" t="s">
        <v>470</v>
      </c>
      <c r="L10" t="s">
        <v>75</v>
      </c>
      <c r="M10" t="s">
        <v>20</v>
      </c>
      <c r="N10" s="1">
        <v>1213</v>
      </c>
      <c r="O10" s="2">
        <v>46183.607638888898</v>
      </c>
      <c r="P10" s="1">
        <v>-1</v>
      </c>
      <c r="Q10" s="2">
        <v>46183.607638888898</v>
      </c>
    </row>
    <row r="11" spans="1:17" x14ac:dyDescent="0.3">
      <c r="A11">
        <v>10</v>
      </c>
      <c r="B11" t="s">
        <v>492</v>
      </c>
      <c r="E11" s="1">
        <v>15541</v>
      </c>
      <c r="F11" s="1">
        <v>-1</v>
      </c>
      <c r="G11" t="s">
        <v>16</v>
      </c>
      <c r="H11" t="s">
        <v>492</v>
      </c>
      <c r="I11" t="s">
        <v>493</v>
      </c>
      <c r="J11" t="s">
        <v>481</v>
      </c>
      <c r="K11" t="s">
        <v>470</v>
      </c>
      <c r="L11" t="s">
        <v>75</v>
      </c>
      <c r="M11" t="s">
        <v>20</v>
      </c>
      <c r="N11" s="1">
        <v>1213</v>
      </c>
      <c r="O11" s="2">
        <v>46183.609027777798</v>
      </c>
      <c r="P11" s="1">
        <v>-1</v>
      </c>
      <c r="Q11" s="2">
        <v>46183.609027777798</v>
      </c>
    </row>
    <row r="12" spans="1:17" x14ac:dyDescent="0.3">
      <c r="A12">
        <v>11</v>
      </c>
      <c r="B12" t="s">
        <v>494</v>
      </c>
      <c r="E12" s="1">
        <v>15085</v>
      </c>
      <c r="F12" s="1">
        <v>-1</v>
      </c>
      <c r="G12" t="s">
        <v>16</v>
      </c>
      <c r="H12" t="s">
        <v>494</v>
      </c>
      <c r="I12" t="s">
        <v>495</v>
      </c>
      <c r="J12" t="s">
        <v>495</v>
      </c>
      <c r="K12" t="s">
        <v>470</v>
      </c>
      <c r="L12" t="s">
        <v>496</v>
      </c>
      <c r="M12" t="s">
        <v>20</v>
      </c>
      <c r="N12" s="1">
        <v>1213</v>
      </c>
      <c r="O12" s="2">
        <v>46021.653472222199</v>
      </c>
      <c r="P12" s="1">
        <v>-1</v>
      </c>
      <c r="Q12" s="2">
        <v>46021.653472222199</v>
      </c>
    </row>
    <row r="13" spans="1:17" x14ac:dyDescent="0.3">
      <c r="A13">
        <v>12</v>
      </c>
      <c r="B13" t="s">
        <v>497</v>
      </c>
      <c r="E13" s="1">
        <v>15235</v>
      </c>
      <c r="F13" s="1">
        <v>202</v>
      </c>
      <c r="G13" t="s">
        <v>16</v>
      </c>
      <c r="H13" t="s">
        <v>497</v>
      </c>
      <c r="I13" t="s">
        <v>498</v>
      </c>
      <c r="J13" t="s">
        <v>489</v>
      </c>
      <c r="K13" t="s">
        <v>470</v>
      </c>
      <c r="L13" t="s">
        <v>499</v>
      </c>
      <c r="M13" t="s">
        <v>20</v>
      </c>
      <c r="N13" s="1">
        <v>1213</v>
      </c>
      <c r="O13" s="2">
        <v>46087.076388888898</v>
      </c>
      <c r="P13" s="1">
        <v>1213</v>
      </c>
      <c r="Q13" s="2">
        <v>46100.329166666699</v>
      </c>
    </row>
    <row r="14" spans="1:17" x14ac:dyDescent="0.3">
      <c r="A14">
        <v>13</v>
      </c>
      <c r="B14" t="s">
        <v>500</v>
      </c>
      <c r="E14" s="1">
        <v>15283</v>
      </c>
      <c r="F14" s="1">
        <v>1609</v>
      </c>
      <c r="G14" t="s">
        <v>16</v>
      </c>
      <c r="H14" t="s">
        <v>500</v>
      </c>
      <c r="I14" t="s">
        <v>501</v>
      </c>
      <c r="J14" t="s">
        <v>501</v>
      </c>
      <c r="K14" t="s">
        <v>470</v>
      </c>
      <c r="L14" t="s">
        <v>502</v>
      </c>
      <c r="M14" t="s">
        <v>20</v>
      </c>
      <c r="N14" s="1">
        <v>1213</v>
      </c>
      <c r="O14" s="2">
        <v>46101.131944444402</v>
      </c>
      <c r="P14" s="1">
        <v>-1</v>
      </c>
      <c r="Q14" s="2">
        <v>46101.131944444402</v>
      </c>
    </row>
    <row r="15" spans="1:17" x14ac:dyDescent="0.3">
      <c r="A15">
        <v>14</v>
      </c>
      <c r="D15">
        <v>553</v>
      </c>
      <c r="E15" s="1">
        <v>14929</v>
      </c>
      <c r="F15" s="1">
        <v>-1</v>
      </c>
      <c r="G15" t="s">
        <v>16</v>
      </c>
      <c r="H15" t="s">
        <v>503</v>
      </c>
      <c r="I15" t="s">
        <v>504</v>
      </c>
      <c r="J15" t="s">
        <v>504</v>
      </c>
      <c r="K15" t="s">
        <v>470</v>
      </c>
      <c r="L15" t="s">
        <v>505</v>
      </c>
      <c r="M15" t="s">
        <v>20</v>
      </c>
      <c r="N15" s="1">
        <v>1213</v>
      </c>
      <c r="O15" s="2">
        <v>45944.332638888904</v>
      </c>
      <c r="P15" s="1">
        <v>1213</v>
      </c>
      <c r="Q15" s="2">
        <v>45972.136111111096</v>
      </c>
    </row>
    <row r="16" spans="1:17" x14ac:dyDescent="0.3">
      <c r="A16">
        <v>15</v>
      </c>
      <c r="D16">
        <v>553</v>
      </c>
      <c r="E16" s="1">
        <v>14937</v>
      </c>
      <c r="F16" s="1">
        <v>-1</v>
      </c>
      <c r="G16" t="s">
        <v>16</v>
      </c>
      <c r="H16" t="s">
        <v>506</v>
      </c>
      <c r="I16" t="s">
        <v>507</v>
      </c>
      <c r="J16" t="s">
        <v>507</v>
      </c>
      <c r="K16" t="s">
        <v>470</v>
      </c>
      <c r="L16" t="s">
        <v>505</v>
      </c>
      <c r="M16" t="s">
        <v>20</v>
      </c>
      <c r="N16" s="1">
        <v>1213</v>
      </c>
      <c r="O16" s="2">
        <v>45946.077083333301</v>
      </c>
      <c r="P16" s="1">
        <v>553</v>
      </c>
      <c r="Q16" s="2">
        <v>46209.2631944444</v>
      </c>
    </row>
    <row r="17" spans="1:17" x14ac:dyDescent="0.3">
      <c r="A17">
        <v>16</v>
      </c>
      <c r="E17" s="1">
        <v>14971</v>
      </c>
      <c r="F17" s="1">
        <v>1547</v>
      </c>
      <c r="G17" t="s">
        <v>16</v>
      </c>
      <c r="H17" t="s">
        <v>508</v>
      </c>
      <c r="I17" t="s">
        <v>375</v>
      </c>
      <c r="J17" t="s">
        <v>509</v>
      </c>
      <c r="K17" t="s">
        <v>470</v>
      </c>
      <c r="L17" t="s">
        <v>510</v>
      </c>
      <c r="M17" t="s">
        <v>20</v>
      </c>
      <c r="N17" s="1">
        <v>1213</v>
      </c>
      <c r="O17" s="2">
        <v>45959.091666666704</v>
      </c>
      <c r="P17" s="1">
        <v>-1</v>
      </c>
      <c r="Q17" s="2">
        <v>45959.091666666704</v>
      </c>
    </row>
    <row r="18" spans="1:17" x14ac:dyDescent="0.3">
      <c r="A18">
        <v>17</v>
      </c>
      <c r="D18" t="s">
        <v>649</v>
      </c>
      <c r="E18" s="1">
        <v>14974</v>
      </c>
      <c r="F18" s="1">
        <v>-1</v>
      </c>
      <c r="G18" t="s">
        <v>16</v>
      </c>
      <c r="H18" t="s">
        <v>511</v>
      </c>
      <c r="I18" t="s">
        <v>512</v>
      </c>
      <c r="J18" t="s">
        <v>513</v>
      </c>
      <c r="K18" t="s">
        <v>470</v>
      </c>
      <c r="L18" t="s">
        <v>496</v>
      </c>
      <c r="M18" t="s">
        <v>20</v>
      </c>
      <c r="N18" s="1">
        <v>1213</v>
      </c>
      <c r="O18" s="2">
        <v>45962.052083333299</v>
      </c>
      <c r="P18" s="1">
        <v>553</v>
      </c>
      <c r="Q18" s="2">
        <v>46209.265972222202</v>
      </c>
    </row>
    <row r="19" spans="1:17" x14ac:dyDescent="0.3">
      <c r="A19">
        <v>18</v>
      </c>
      <c r="D19" t="s">
        <v>649</v>
      </c>
      <c r="E19" s="1">
        <v>14978</v>
      </c>
      <c r="F19" s="1">
        <v>-1</v>
      </c>
      <c r="G19" t="s">
        <v>16</v>
      </c>
      <c r="H19" t="s">
        <v>514</v>
      </c>
      <c r="I19" t="s">
        <v>515</v>
      </c>
      <c r="J19" t="s">
        <v>516</v>
      </c>
      <c r="K19" t="s">
        <v>470</v>
      </c>
      <c r="L19" t="s">
        <v>505</v>
      </c>
      <c r="M19" t="s">
        <v>20</v>
      </c>
      <c r="N19" s="1">
        <v>1213</v>
      </c>
      <c r="O19" s="2">
        <v>45968.110416666699</v>
      </c>
      <c r="P19" s="1">
        <v>553</v>
      </c>
      <c r="Q19" s="2">
        <v>46209.265972222202</v>
      </c>
    </row>
    <row r="20" spans="1:17" x14ac:dyDescent="0.3">
      <c r="A20">
        <v>19</v>
      </c>
      <c r="D20" t="s">
        <v>650</v>
      </c>
      <c r="E20" s="1">
        <v>14989</v>
      </c>
      <c r="F20" s="1">
        <v>-1</v>
      </c>
      <c r="G20" t="s">
        <v>16</v>
      </c>
      <c r="H20" t="s">
        <v>517</v>
      </c>
      <c r="I20" t="s">
        <v>518</v>
      </c>
      <c r="J20" t="s">
        <v>518</v>
      </c>
      <c r="K20" t="s">
        <v>470</v>
      </c>
      <c r="L20" t="s">
        <v>496</v>
      </c>
      <c r="M20" t="s">
        <v>20</v>
      </c>
      <c r="N20" s="1">
        <v>1213</v>
      </c>
      <c r="O20" s="2">
        <v>45970.654166666704</v>
      </c>
      <c r="P20" s="1">
        <v>1213</v>
      </c>
      <c r="Q20" s="2">
        <v>45971.692361111098</v>
      </c>
    </row>
    <row r="21" spans="1:17" x14ac:dyDescent="0.3">
      <c r="A21">
        <v>20</v>
      </c>
      <c r="E21" s="1">
        <v>14998</v>
      </c>
      <c r="F21" s="1">
        <v>-1</v>
      </c>
      <c r="G21" t="s">
        <v>16</v>
      </c>
      <c r="H21" t="s">
        <v>519</v>
      </c>
      <c r="I21" t="s">
        <v>520</v>
      </c>
      <c r="J21" t="s">
        <v>520</v>
      </c>
      <c r="K21" t="s">
        <v>470</v>
      </c>
      <c r="L21" t="s">
        <v>496</v>
      </c>
      <c r="M21" t="s">
        <v>20</v>
      </c>
      <c r="N21" s="1">
        <v>1213</v>
      </c>
      <c r="O21" s="2">
        <v>45979.029861111099</v>
      </c>
      <c r="P21" s="1">
        <v>1213</v>
      </c>
      <c r="Q21" s="2">
        <v>45979.186805555597</v>
      </c>
    </row>
    <row r="22" spans="1:17" x14ac:dyDescent="0.3">
      <c r="A22">
        <v>21</v>
      </c>
      <c r="E22" s="1">
        <v>15003</v>
      </c>
      <c r="F22" s="1">
        <v>-1</v>
      </c>
      <c r="G22" t="s">
        <v>16</v>
      </c>
      <c r="H22" t="s">
        <v>521</v>
      </c>
      <c r="I22" t="s">
        <v>522</v>
      </c>
      <c r="J22" t="s">
        <v>522</v>
      </c>
      <c r="K22" t="s">
        <v>470</v>
      </c>
      <c r="L22" t="s">
        <v>496</v>
      </c>
      <c r="M22" t="s">
        <v>20</v>
      </c>
      <c r="N22" s="1">
        <v>1213</v>
      </c>
      <c r="O22" s="2">
        <v>45981.223611111098</v>
      </c>
      <c r="P22" s="1">
        <v>1213</v>
      </c>
      <c r="Q22" s="2">
        <v>45982.377083333296</v>
      </c>
    </row>
    <row r="23" spans="1:17" x14ac:dyDescent="0.3">
      <c r="A23">
        <v>22</v>
      </c>
      <c r="D23" t="s">
        <v>649</v>
      </c>
      <c r="E23" s="1">
        <v>15046</v>
      </c>
      <c r="F23" s="1">
        <v>-1</v>
      </c>
      <c r="G23" t="s">
        <v>16</v>
      </c>
      <c r="H23" t="s">
        <v>523</v>
      </c>
      <c r="I23" t="s">
        <v>523</v>
      </c>
      <c r="J23" t="s">
        <v>523</v>
      </c>
      <c r="K23" t="s">
        <v>470</v>
      </c>
      <c r="L23" t="s">
        <v>496</v>
      </c>
      <c r="M23" t="s">
        <v>20</v>
      </c>
      <c r="N23" s="1">
        <v>1213</v>
      </c>
      <c r="O23" s="2">
        <v>45994.147916666698</v>
      </c>
      <c r="P23" s="1">
        <v>-1</v>
      </c>
      <c r="Q23" s="2">
        <v>45994.147916666698</v>
      </c>
    </row>
    <row r="24" spans="1:17" x14ac:dyDescent="0.3">
      <c r="A24">
        <v>23</v>
      </c>
      <c r="C24" t="s">
        <v>465</v>
      </c>
      <c r="E24" s="1">
        <v>15049</v>
      </c>
      <c r="F24" s="1">
        <v>1547</v>
      </c>
      <c r="G24" t="s">
        <v>16</v>
      </c>
      <c r="H24" t="s">
        <v>524</v>
      </c>
      <c r="I24" t="s">
        <v>525</v>
      </c>
      <c r="J24" t="s">
        <v>525</v>
      </c>
      <c r="K24" t="s">
        <v>470</v>
      </c>
      <c r="L24" t="s">
        <v>510</v>
      </c>
      <c r="M24" t="s">
        <v>20</v>
      </c>
      <c r="N24" s="1">
        <v>1213</v>
      </c>
      <c r="O24" s="2">
        <v>45995.141666666699</v>
      </c>
      <c r="P24" s="1">
        <v>1213</v>
      </c>
      <c r="Q24" s="2">
        <v>46029.6027777778</v>
      </c>
    </row>
    <row r="25" spans="1:17" x14ac:dyDescent="0.3">
      <c r="A25">
        <v>24</v>
      </c>
      <c r="C25" t="s">
        <v>465</v>
      </c>
      <c r="E25" s="1">
        <v>15055</v>
      </c>
      <c r="F25" s="1">
        <v>1609</v>
      </c>
      <c r="G25" t="s">
        <v>16</v>
      </c>
      <c r="H25" t="s">
        <v>526</v>
      </c>
      <c r="I25" t="s">
        <v>526</v>
      </c>
      <c r="J25" t="s">
        <v>526</v>
      </c>
      <c r="K25" t="s">
        <v>470</v>
      </c>
      <c r="L25" t="s">
        <v>502</v>
      </c>
      <c r="M25" t="s">
        <v>20</v>
      </c>
      <c r="N25" s="1">
        <v>1213</v>
      </c>
      <c r="O25" s="2">
        <v>46000.086805555598</v>
      </c>
      <c r="P25" s="1">
        <v>-1</v>
      </c>
      <c r="Q25" s="2">
        <v>46000.086805555598</v>
      </c>
    </row>
    <row r="26" spans="1:17" x14ac:dyDescent="0.3">
      <c r="A26">
        <v>25</v>
      </c>
      <c r="C26" t="s">
        <v>465</v>
      </c>
      <c r="E26" s="1">
        <v>15059</v>
      </c>
      <c r="F26" s="1">
        <v>1609</v>
      </c>
      <c r="G26" t="s">
        <v>16</v>
      </c>
      <c r="H26" t="s">
        <v>527</v>
      </c>
      <c r="I26" t="s">
        <v>528</v>
      </c>
      <c r="J26" t="s">
        <v>528</v>
      </c>
      <c r="K26" t="s">
        <v>470</v>
      </c>
      <c r="L26" t="s">
        <v>75</v>
      </c>
      <c r="M26" t="s">
        <v>20</v>
      </c>
      <c r="N26" s="1">
        <v>1213</v>
      </c>
      <c r="O26" s="2">
        <v>46000.331250000003</v>
      </c>
      <c r="P26" s="1">
        <v>1213</v>
      </c>
      <c r="Q26" s="2">
        <v>46000.345833333296</v>
      </c>
    </row>
    <row r="27" spans="1:17" x14ac:dyDescent="0.3">
      <c r="A27">
        <v>26</v>
      </c>
      <c r="C27" t="s">
        <v>465</v>
      </c>
      <c r="E27" s="1">
        <v>15064</v>
      </c>
      <c r="F27" s="1">
        <v>1592</v>
      </c>
      <c r="G27" t="s">
        <v>16</v>
      </c>
      <c r="H27" t="s">
        <v>529</v>
      </c>
      <c r="I27" t="s">
        <v>530</v>
      </c>
      <c r="J27" t="s">
        <v>530</v>
      </c>
      <c r="K27" t="s">
        <v>470</v>
      </c>
      <c r="L27" t="s">
        <v>510</v>
      </c>
      <c r="M27" t="s">
        <v>20</v>
      </c>
      <c r="N27" s="1">
        <v>1213</v>
      </c>
      <c r="O27" s="2">
        <v>46003.465972222199</v>
      </c>
      <c r="P27" s="1">
        <v>-1</v>
      </c>
      <c r="Q27" s="2">
        <v>46003.465972222199</v>
      </c>
    </row>
    <row r="28" spans="1:17" x14ac:dyDescent="0.3">
      <c r="A28">
        <v>27</v>
      </c>
      <c r="C28" t="s">
        <v>465</v>
      </c>
      <c r="E28" s="1">
        <v>15070</v>
      </c>
      <c r="F28" s="1">
        <v>1547</v>
      </c>
      <c r="G28" t="s">
        <v>16</v>
      </c>
      <c r="H28" t="s">
        <v>531</v>
      </c>
      <c r="I28" t="s">
        <v>532</v>
      </c>
      <c r="J28" t="s">
        <v>532</v>
      </c>
      <c r="K28" t="s">
        <v>470</v>
      </c>
      <c r="L28" t="s">
        <v>510</v>
      </c>
      <c r="M28" t="s">
        <v>20</v>
      </c>
      <c r="N28" s="1">
        <v>1213</v>
      </c>
      <c r="O28" s="2">
        <v>46009.054861111101</v>
      </c>
      <c r="P28" s="1">
        <v>1213</v>
      </c>
      <c r="Q28" s="2">
        <v>46064.152777777803</v>
      </c>
    </row>
    <row r="29" spans="1:17" x14ac:dyDescent="0.3">
      <c r="A29">
        <v>28</v>
      </c>
      <c r="C29" t="s">
        <v>465</v>
      </c>
      <c r="E29" s="1">
        <v>15078</v>
      </c>
      <c r="F29" s="1">
        <v>-1</v>
      </c>
      <c r="G29" t="s">
        <v>16</v>
      </c>
      <c r="H29" t="s">
        <v>533</v>
      </c>
      <c r="I29" t="s">
        <v>534</v>
      </c>
      <c r="J29" t="s">
        <v>534</v>
      </c>
      <c r="K29" t="s">
        <v>470</v>
      </c>
      <c r="L29" t="s">
        <v>496</v>
      </c>
      <c r="M29" t="s">
        <v>20</v>
      </c>
      <c r="N29" s="1">
        <v>1213</v>
      </c>
      <c r="O29" s="2">
        <v>46014.951388888898</v>
      </c>
      <c r="P29" s="1">
        <v>-1</v>
      </c>
      <c r="Q29" s="2">
        <v>46014.951388888898</v>
      </c>
    </row>
    <row r="30" spans="1:17" x14ac:dyDescent="0.3">
      <c r="A30">
        <v>29</v>
      </c>
      <c r="C30" t="s">
        <v>465</v>
      </c>
      <c r="E30" s="1">
        <v>15079</v>
      </c>
      <c r="F30" s="1">
        <v>1547</v>
      </c>
      <c r="G30" t="s">
        <v>16</v>
      </c>
      <c r="H30" t="s">
        <v>535</v>
      </c>
      <c r="I30" t="s">
        <v>536</v>
      </c>
      <c r="J30" t="s">
        <v>536</v>
      </c>
      <c r="K30" t="s">
        <v>470</v>
      </c>
      <c r="L30" t="s">
        <v>510</v>
      </c>
      <c r="M30" t="s">
        <v>20</v>
      </c>
      <c r="N30" s="1">
        <v>1213</v>
      </c>
      <c r="O30" s="2">
        <v>46015.2319444444</v>
      </c>
      <c r="P30" s="1">
        <v>-1</v>
      </c>
      <c r="Q30" s="2">
        <v>46015.2319444444</v>
      </c>
    </row>
    <row r="31" spans="1:17" x14ac:dyDescent="0.3">
      <c r="A31">
        <v>30</v>
      </c>
      <c r="E31" s="1">
        <v>15087</v>
      </c>
      <c r="F31" s="1">
        <v>-1</v>
      </c>
      <c r="G31" t="s">
        <v>16</v>
      </c>
      <c r="H31" t="s">
        <v>537</v>
      </c>
      <c r="I31" t="s">
        <v>538</v>
      </c>
      <c r="J31" t="s">
        <v>539</v>
      </c>
      <c r="K31" t="s">
        <v>470</v>
      </c>
      <c r="L31" t="s">
        <v>496</v>
      </c>
      <c r="M31" t="s">
        <v>20</v>
      </c>
      <c r="N31" s="1">
        <v>1213</v>
      </c>
      <c r="O31" s="2">
        <v>46022.511111111096</v>
      </c>
      <c r="P31" s="1">
        <v>-1</v>
      </c>
      <c r="Q31" s="2">
        <v>46022.511111111096</v>
      </c>
    </row>
    <row r="32" spans="1:17" x14ac:dyDescent="0.3">
      <c r="A32">
        <v>31</v>
      </c>
      <c r="D32" t="s">
        <v>650</v>
      </c>
      <c r="E32" s="1">
        <v>15122</v>
      </c>
      <c r="F32" s="1">
        <v>-1</v>
      </c>
      <c r="G32" t="s">
        <v>16</v>
      </c>
      <c r="H32" t="s">
        <v>540</v>
      </c>
      <c r="I32" t="s">
        <v>541</v>
      </c>
      <c r="J32" t="s">
        <v>542</v>
      </c>
      <c r="K32" t="s">
        <v>470</v>
      </c>
      <c r="L32" t="s">
        <v>496</v>
      </c>
      <c r="M32" t="s">
        <v>20</v>
      </c>
      <c r="N32" s="1">
        <v>1213</v>
      </c>
      <c r="O32" s="2">
        <v>46038.034027777801</v>
      </c>
      <c r="P32" s="1">
        <v>-1</v>
      </c>
      <c r="Q32" s="2">
        <v>46038.034027777801</v>
      </c>
    </row>
    <row r="33" spans="1:17" x14ac:dyDescent="0.3">
      <c r="A33">
        <v>32</v>
      </c>
      <c r="E33" s="1">
        <v>15124</v>
      </c>
      <c r="F33" s="1">
        <v>247</v>
      </c>
      <c r="G33" t="s">
        <v>16</v>
      </c>
      <c r="H33" t="s">
        <v>543</v>
      </c>
      <c r="I33" t="s">
        <v>544</v>
      </c>
      <c r="J33" t="s">
        <v>545</v>
      </c>
      <c r="K33" t="s">
        <v>470</v>
      </c>
      <c r="L33" t="s">
        <v>75</v>
      </c>
      <c r="M33" t="s">
        <v>20</v>
      </c>
      <c r="N33" s="1">
        <v>1213</v>
      </c>
      <c r="O33" s="2">
        <v>46038.348611111098</v>
      </c>
      <c r="P33" s="1">
        <v>1213</v>
      </c>
      <c r="Q33" s="2">
        <v>46038.372916666704</v>
      </c>
    </row>
    <row r="34" spans="1:17" x14ac:dyDescent="0.3">
      <c r="A34">
        <v>33</v>
      </c>
      <c r="D34" t="s">
        <v>650</v>
      </c>
      <c r="E34" s="1">
        <v>15127</v>
      </c>
      <c r="F34" s="1">
        <v>-1</v>
      </c>
      <c r="G34" t="s">
        <v>16</v>
      </c>
      <c r="H34" t="s">
        <v>546</v>
      </c>
      <c r="I34" t="s">
        <v>547</v>
      </c>
      <c r="J34" t="s">
        <v>542</v>
      </c>
      <c r="K34" t="s">
        <v>470</v>
      </c>
      <c r="L34" t="s">
        <v>496</v>
      </c>
      <c r="M34" t="s">
        <v>20</v>
      </c>
      <c r="N34" s="1">
        <v>1213</v>
      </c>
      <c r="O34" s="2">
        <v>46041.456250000003</v>
      </c>
      <c r="P34" s="1">
        <v>1213</v>
      </c>
      <c r="Q34" s="2">
        <v>46041.474999999999</v>
      </c>
    </row>
    <row r="35" spans="1:17" x14ac:dyDescent="0.3">
      <c r="A35">
        <v>34</v>
      </c>
      <c r="C35" t="s">
        <v>465</v>
      </c>
      <c r="E35" s="1">
        <v>15291</v>
      </c>
      <c r="F35" s="1">
        <v>-1</v>
      </c>
      <c r="G35" t="s">
        <v>16</v>
      </c>
      <c r="H35" t="s">
        <v>548</v>
      </c>
      <c r="I35" t="s">
        <v>549</v>
      </c>
      <c r="J35" t="s">
        <v>550</v>
      </c>
      <c r="K35" t="s">
        <v>470</v>
      </c>
      <c r="L35" t="s">
        <v>551</v>
      </c>
      <c r="M35" t="s">
        <v>20</v>
      </c>
      <c r="N35" s="1">
        <v>1213</v>
      </c>
      <c r="O35" s="2">
        <v>46107.289583333302</v>
      </c>
      <c r="P35" s="1">
        <v>1213</v>
      </c>
      <c r="Q35" s="2">
        <v>46108.573611111096</v>
      </c>
    </row>
    <row r="36" spans="1:17" x14ac:dyDescent="0.3">
      <c r="A36">
        <v>35</v>
      </c>
      <c r="E36" s="1">
        <v>15294</v>
      </c>
      <c r="F36" s="1">
        <v>-1</v>
      </c>
      <c r="G36" t="s">
        <v>16</v>
      </c>
      <c r="H36" t="s">
        <v>552</v>
      </c>
      <c r="I36" t="s">
        <v>553</v>
      </c>
      <c r="J36" t="s">
        <v>553</v>
      </c>
      <c r="K36" t="s">
        <v>470</v>
      </c>
      <c r="L36" t="s">
        <v>554</v>
      </c>
      <c r="M36" t="s">
        <v>20</v>
      </c>
      <c r="N36" s="1">
        <v>1213</v>
      </c>
      <c r="O36" s="2">
        <v>46108.184722222199</v>
      </c>
      <c r="P36" s="1">
        <v>1213</v>
      </c>
      <c r="Q36" s="2">
        <v>46120.038888888899</v>
      </c>
    </row>
    <row r="37" spans="1:17" x14ac:dyDescent="0.3">
      <c r="A37">
        <v>36</v>
      </c>
      <c r="C37" t="s">
        <v>465</v>
      </c>
      <c r="E37" s="1">
        <v>15300</v>
      </c>
      <c r="F37" s="1">
        <v>-1</v>
      </c>
      <c r="G37" t="s">
        <v>16</v>
      </c>
      <c r="H37" t="s">
        <v>555</v>
      </c>
      <c r="I37" t="s">
        <v>556</v>
      </c>
      <c r="J37" t="s">
        <v>550</v>
      </c>
      <c r="K37" t="s">
        <v>470</v>
      </c>
      <c r="L37" t="s">
        <v>557</v>
      </c>
      <c r="M37" t="s">
        <v>20</v>
      </c>
      <c r="N37" s="1">
        <v>1213</v>
      </c>
      <c r="O37" s="2">
        <v>46108.988888888904</v>
      </c>
      <c r="P37" s="1">
        <v>1213</v>
      </c>
      <c r="Q37" s="2">
        <v>46118.359027777798</v>
      </c>
    </row>
    <row r="38" spans="1:17" x14ac:dyDescent="0.3">
      <c r="A38">
        <v>37</v>
      </c>
      <c r="E38" s="1">
        <v>15301</v>
      </c>
      <c r="F38" s="1">
        <v>-1</v>
      </c>
      <c r="G38" t="s">
        <v>16</v>
      </c>
      <c r="H38" t="s">
        <v>558</v>
      </c>
      <c r="I38" t="s">
        <v>559</v>
      </c>
      <c r="J38" t="s">
        <v>559</v>
      </c>
      <c r="K38" t="s">
        <v>470</v>
      </c>
      <c r="L38" t="s">
        <v>557</v>
      </c>
      <c r="M38" t="s">
        <v>20</v>
      </c>
      <c r="N38" s="1">
        <v>1213</v>
      </c>
      <c r="O38" s="2">
        <v>46109.070833333302</v>
      </c>
      <c r="P38" s="1">
        <v>1213</v>
      </c>
      <c r="Q38" s="2">
        <v>46151.722916666702</v>
      </c>
    </row>
    <row r="39" spans="1:17" x14ac:dyDescent="0.3">
      <c r="A39">
        <v>38</v>
      </c>
      <c r="E39" s="1">
        <v>15316</v>
      </c>
      <c r="F39" s="1">
        <v>-1</v>
      </c>
      <c r="G39" t="s">
        <v>16</v>
      </c>
      <c r="H39" t="s">
        <v>560</v>
      </c>
      <c r="I39" t="s">
        <v>561</v>
      </c>
      <c r="J39" t="s">
        <v>562</v>
      </c>
      <c r="K39" t="s">
        <v>470</v>
      </c>
      <c r="L39" t="s">
        <v>557</v>
      </c>
      <c r="M39" t="s">
        <v>20</v>
      </c>
      <c r="N39" s="1">
        <v>1213</v>
      </c>
      <c r="O39" s="2">
        <v>46111.167361111096</v>
      </c>
      <c r="P39" s="1">
        <v>1213</v>
      </c>
      <c r="Q39" s="2">
        <v>46223.102083333302</v>
      </c>
    </row>
    <row r="40" spans="1:17" x14ac:dyDescent="0.3">
      <c r="A40">
        <v>39</v>
      </c>
      <c r="C40" t="s">
        <v>465</v>
      </c>
      <c r="E40" s="1">
        <v>15333</v>
      </c>
      <c r="F40" s="1">
        <v>-1</v>
      </c>
      <c r="G40" t="s">
        <v>16</v>
      </c>
      <c r="H40" t="s">
        <v>563</v>
      </c>
      <c r="I40" t="s">
        <v>564</v>
      </c>
      <c r="J40" t="s">
        <v>564</v>
      </c>
      <c r="K40" t="s">
        <v>470</v>
      </c>
      <c r="L40" t="s">
        <v>557</v>
      </c>
      <c r="M40" t="s">
        <v>20</v>
      </c>
      <c r="N40" s="1">
        <v>1213</v>
      </c>
      <c r="O40" s="2">
        <v>46116.180555555598</v>
      </c>
      <c r="P40" s="1">
        <v>1213</v>
      </c>
      <c r="Q40" s="2">
        <v>46139.613888888904</v>
      </c>
    </row>
    <row r="41" spans="1:17" x14ac:dyDescent="0.3">
      <c r="A41">
        <v>40</v>
      </c>
      <c r="C41" t="s">
        <v>465</v>
      </c>
      <c r="E41" s="1">
        <v>15334</v>
      </c>
      <c r="F41" s="1">
        <v>-1</v>
      </c>
      <c r="G41" t="s">
        <v>16</v>
      </c>
      <c r="H41" t="s">
        <v>565</v>
      </c>
      <c r="I41" t="s">
        <v>566</v>
      </c>
      <c r="J41" t="s">
        <v>566</v>
      </c>
      <c r="K41" t="s">
        <v>470</v>
      </c>
      <c r="L41" t="s">
        <v>567</v>
      </c>
      <c r="M41" t="s">
        <v>20</v>
      </c>
      <c r="N41" s="1">
        <v>1213</v>
      </c>
      <c r="O41" s="2">
        <v>46116.186111111099</v>
      </c>
      <c r="P41" s="1">
        <v>1213</v>
      </c>
      <c r="Q41" s="2">
        <v>46118.308333333298</v>
      </c>
    </row>
    <row r="42" spans="1:17" x14ac:dyDescent="0.3">
      <c r="A42">
        <v>41</v>
      </c>
      <c r="C42" t="s">
        <v>465</v>
      </c>
      <c r="E42" s="1">
        <v>15335</v>
      </c>
      <c r="F42" s="1">
        <v>-1</v>
      </c>
      <c r="G42" t="s">
        <v>16</v>
      </c>
      <c r="H42" t="s">
        <v>568</v>
      </c>
      <c r="I42" t="s">
        <v>569</v>
      </c>
      <c r="J42" t="s">
        <v>569</v>
      </c>
      <c r="K42" t="s">
        <v>470</v>
      </c>
      <c r="L42" t="s">
        <v>567</v>
      </c>
      <c r="M42" t="s">
        <v>20</v>
      </c>
      <c r="N42" s="1">
        <v>1213</v>
      </c>
      <c r="O42" s="2">
        <v>46116.193749999999</v>
      </c>
      <c r="P42" s="1">
        <v>10000270</v>
      </c>
      <c r="Q42" s="2">
        <v>46121.060416666704</v>
      </c>
    </row>
    <row r="43" spans="1:17" x14ac:dyDescent="0.3">
      <c r="A43">
        <v>42</v>
      </c>
      <c r="C43" t="s">
        <v>465</v>
      </c>
      <c r="E43" s="1">
        <v>15342</v>
      </c>
      <c r="F43" s="1">
        <v>-1</v>
      </c>
      <c r="G43" t="s">
        <v>16</v>
      </c>
      <c r="H43" t="s">
        <v>570</v>
      </c>
      <c r="I43" t="s">
        <v>571</v>
      </c>
      <c r="J43" t="s">
        <v>571</v>
      </c>
      <c r="K43" t="s">
        <v>470</v>
      </c>
      <c r="L43" t="s">
        <v>572</v>
      </c>
      <c r="M43" t="s">
        <v>20</v>
      </c>
      <c r="N43" s="1">
        <v>1213</v>
      </c>
      <c r="O43" s="2">
        <v>46116.213194444397</v>
      </c>
      <c r="P43" s="1">
        <v>1213</v>
      </c>
      <c r="Q43" s="2">
        <v>46140.3</v>
      </c>
    </row>
    <row r="44" spans="1:17" x14ac:dyDescent="0.3">
      <c r="A44">
        <v>43</v>
      </c>
      <c r="C44" t="s">
        <v>465</v>
      </c>
      <c r="E44" s="1">
        <v>15343</v>
      </c>
      <c r="F44" s="1">
        <v>-1</v>
      </c>
      <c r="G44" t="s">
        <v>16</v>
      </c>
      <c r="H44" t="s">
        <v>573</v>
      </c>
      <c r="I44" t="s">
        <v>574</v>
      </c>
      <c r="J44" t="s">
        <v>574</v>
      </c>
      <c r="K44" t="s">
        <v>470</v>
      </c>
      <c r="L44" t="s">
        <v>567</v>
      </c>
      <c r="M44" t="s">
        <v>20</v>
      </c>
      <c r="N44" s="1">
        <v>1213</v>
      </c>
      <c r="O44" s="2">
        <v>46117.085416666698</v>
      </c>
      <c r="P44" s="1">
        <v>1213</v>
      </c>
      <c r="Q44" s="2">
        <v>46139.616666666698</v>
      </c>
    </row>
    <row r="45" spans="1:17" x14ac:dyDescent="0.3">
      <c r="A45">
        <v>44</v>
      </c>
      <c r="C45" t="s">
        <v>465</v>
      </c>
      <c r="E45" s="1">
        <v>15344</v>
      </c>
      <c r="F45" s="1">
        <v>-1</v>
      </c>
      <c r="G45" t="s">
        <v>16</v>
      </c>
      <c r="H45" t="s">
        <v>575</v>
      </c>
      <c r="I45" t="s">
        <v>576</v>
      </c>
      <c r="J45" t="s">
        <v>576</v>
      </c>
      <c r="K45" t="s">
        <v>470</v>
      </c>
      <c r="L45" t="s">
        <v>567</v>
      </c>
      <c r="M45" t="s">
        <v>20</v>
      </c>
      <c r="N45" s="1">
        <v>1213</v>
      </c>
      <c r="O45" s="2">
        <v>46117.086111111101</v>
      </c>
      <c r="P45" s="1">
        <v>1213</v>
      </c>
      <c r="Q45" s="2">
        <v>46126.176388888904</v>
      </c>
    </row>
    <row r="46" spans="1:17" x14ac:dyDescent="0.3">
      <c r="A46">
        <v>45</v>
      </c>
      <c r="C46" t="s">
        <v>465</v>
      </c>
      <c r="E46" s="1">
        <v>15345</v>
      </c>
      <c r="F46" s="1">
        <v>-1</v>
      </c>
      <c r="G46" t="s">
        <v>16</v>
      </c>
      <c r="H46" t="s">
        <v>577</v>
      </c>
      <c r="I46" t="s">
        <v>578</v>
      </c>
      <c r="J46" t="s">
        <v>578</v>
      </c>
      <c r="K46" t="s">
        <v>470</v>
      </c>
      <c r="L46" t="s">
        <v>567</v>
      </c>
      <c r="M46" t="s">
        <v>20</v>
      </c>
      <c r="N46" s="1">
        <v>1213</v>
      </c>
      <c r="O46" s="2">
        <v>46117.088194444397</v>
      </c>
      <c r="P46" s="1">
        <v>1213</v>
      </c>
      <c r="Q46" s="2">
        <v>46139.618055555598</v>
      </c>
    </row>
    <row r="47" spans="1:17" x14ac:dyDescent="0.3">
      <c r="A47">
        <v>46</v>
      </c>
      <c r="C47" t="s">
        <v>465</v>
      </c>
      <c r="E47" s="1">
        <v>15346</v>
      </c>
      <c r="F47" s="1">
        <v>-1</v>
      </c>
      <c r="G47" t="s">
        <v>16</v>
      </c>
      <c r="H47" t="s">
        <v>579</v>
      </c>
      <c r="I47" t="s">
        <v>580</v>
      </c>
      <c r="J47" t="s">
        <v>580</v>
      </c>
      <c r="K47" t="s">
        <v>470</v>
      </c>
      <c r="L47" t="s">
        <v>567</v>
      </c>
      <c r="M47" t="s">
        <v>20</v>
      </c>
      <c r="N47" s="1">
        <v>1213</v>
      </c>
      <c r="O47" s="2">
        <v>46117.088888888902</v>
      </c>
      <c r="P47" s="1">
        <v>1213</v>
      </c>
      <c r="Q47" s="2">
        <v>46139.618055555598</v>
      </c>
    </row>
    <row r="48" spans="1:17" x14ac:dyDescent="0.3">
      <c r="A48">
        <v>47</v>
      </c>
      <c r="C48" t="s">
        <v>465</v>
      </c>
      <c r="E48" s="1">
        <v>15347</v>
      </c>
      <c r="F48" s="1">
        <v>-1</v>
      </c>
      <c r="G48" t="s">
        <v>16</v>
      </c>
      <c r="H48" t="s">
        <v>581</v>
      </c>
      <c r="I48" t="s">
        <v>582</v>
      </c>
      <c r="J48" t="s">
        <v>582</v>
      </c>
      <c r="K48" t="s">
        <v>470</v>
      </c>
      <c r="L48" t="s">
        <v>567</v>
      </c>
      <c r="M48" t="s">
        <v>20</v>
      </c>
      <c r="N48" s="1">
        <v>1213</v>
      </c>
      <c r="O48" s="2">
        <v>46117.089583333298</v>
      </c>
      <c r="P48" s="1">
        <v>1213</v>
      </c>
      <c r="Q48" s="2">
        <v>46139.618055555598</v>
      </c>
    </row>
    <row r="49" spans="1:17" x14ac:dyDescent="0.3">
      <c r="A49">
        <v>48</v>
      </c>
      <c r="C49" t="s">
        <v>465</v>
      </c>
      <c r="E49" s="1">
        <v>15348</v>
      </c>
      <c r="F49" s="1">
        <v>-1</v>
      </c>
      <c r="G49" t="s">
        <v>16</v>
      </c>
      <c r="H49" t="s">
        <v>583</v>
      </c>
      <c r="I49" t="s">
        <v>584</v>
      </c>
      <c r="J49" t="s">
        <v>584</v>
      </c>
      <c r="K49" t="s">
        <v>470</v>
      </c>
      <c r="L49" t="s">
        <v>567</v>
      </c>
      <c r="M49" t="s">
        <v>20</v>
      </c>
      <c r="N49" s="1">
        <v>1213</v>
      </c>
      <c r="O49" s="2">
        <v>46117.090972222199</v>
      </c>
      <c r="P49" s="1">
        <v>1213</v>
      </c>
      <c r="Q49" s="2">
        <v>46139.618055555598</v>
      </c>
    </row>
    <row r="50" spans="1:17" x14ac:dyDescent="0.3">
      <c r="A50">
        <v>49</v>
      </c>
      <c r="C50" t="s">
        <v>465</v>
      </c>
      <c r="E50" s="1">
        <v>15349</v>
      </c>
      <c r="F50" s="1">
        <v>-1</v>
      </c>
      <c r="G50" t="s">
        <v>16</v>
      </c>
      <c r="H50" t="s">
        <v>585</v>
      </c>
      <c r="I50" t="s">
        <v>586</v>
      </c>
      <c r="J50" t="s">
        <v>586</v>
      </c>
      <c r="K50" t="s">
        <v>470</v>
      </c>
      <c r="L50" t="s">
        <v>557</v>
      </c>
      <c r="M50" t="s">
        <v>20</v>
      </c>
      <c r="N50" s="1">
        <v>1213</v>
      </c>
      <c r="O50" s="2">
        <v>46117.129166666702</v>
      </c>
      <c r="P50" s="1">
        <v>1213</v>
      </c>
      <c r="Q50" s="2">
        <v>46119.1069444444</v>
      </c>
    </row>
    <row r="51" spans="1:17" x14ac:dyDescent="0.3">
      <c r="A51">
        <v>50</v>
      </c>
      <c r="C51" t="s">
        <v>465</v>
      </c>
      <c r="E51" s="1">
        <v>15350</v>
      </c>
      <c r="F51" s="1">
        <v>-1</v>
      </c>
      <c r="G51" t="s">
        <v>16</v>
      </c>
      <c r="H51" t="s">
        <v>587</v>
      </c>
      <c r="I51" t="s">
        <v>588</v>
      </c>
      <c r="J51" t="s">
        <v>588</v>
      </c>
      <c r="K51" t="s">
        <v>470</v>
      </c>
      <c r="L51" t="s">
        <v>557</v>
      </c>
      <c r="M51" t="s">
        <v>20</v>
      </c>
      <c r="N51" s="1">
        <v>1213</v>
      </c>
      <c r="O51" s="2">
        <v>46117.129861111098</v>
      </c>
      <c r="P51" s="1">
        <v>1213</v>
      </c>
      <c r="Q51" s="2">
        <v>46139.618055555598</v>
      </c>
    </row>
    <row r="52" spans="1:17" x14ac:dyDescent="0.3">
      <c r="A52">
        <v>51</v>
      </c>
      <c r="E52" s="1">
        <v>15351</v>
      </c>
      <c r="F52" s="1">
        <v>-1</v>
      </c>
      <c r="G52" t="s">
        <v>16</v>
      </c>
      <c r="H52" t="s">
        <v>589</v>
      </c>
      <c r="I52" t="s">
        <v>590</v>
      </c>
      <c r="J52" t="s">
        <v>590</v>
      </c>
      <c r="K52" t="s">
        <v>470</v>
      </c>
      <c r="L52" t="s">
        <v>557</v>
      </c>
      <c r="M52" t="s">
        <v>20</v>
      </c>
      <c r="N52" s="1">
        <v>1213</v>
      </c>
      <c r="O52" s="2">
        <v>46117.130555555603</v>
      </c>
      <c r="P52" s="1">
        <v>1213</v>
      </c>
      <c r="Q52" s="2">
        <v>46132.109027777798</v>
      </c>
    </row>
    <row r="53" spans="1:17" x14ac:dyDescent="0.3">
      <c r="A53">
        <v>52</v>
      </c>
      <c r="C53" t="s">
        <v>465</v>
      </c>
      <c r="E53" s="1">
        <v>15352</v>
      </c>
      <c r="F53" s="1">
        <v>-1</v>
      </c>
      <c r="G53" t="s">
        <v>16</v>
      </c>
      <c r="H53" t="s">
        <v>591</v>
      </c>
      <c r="I53" t="s">
        <v>592</v>
      </c>
      <c r="J53" t="s">
        <v>592</v>
      </c>
      <c r="K53" t="s">
        <v>470</v>
      </c>
      <c r="L53" t="s">
        <v>557</v>
      </c>
      <c r="M53" t="s">
        <v>20</v>
      </c>
      <c r="N53" s="1">
        <v>1213</v>
      </c>
      <c r="O53" s="2">
        <v>46117.131249999999</v>
      </c>
      <c r="P53" s="1">
        <v>1213</v>
      </c>
      <c r="Q53" s="2">
        <v>46139.617361111101</v>
      </c>
    </row>
    <row r="54" spans="1:17" x14ac:dyDescent="0.3">
      <c r="A54">
        <v>53</v>
      </c>
      <c r="E54" s="1">
        <v>15353</v>
      </c>
      <c r="F54" s="1">
        <v>-1</v>
      </c>
      <c r="G54" t="s">
        <v>16</v>
      </c>
      <c r="H54" t="s">
        <v>593</v>
      </c>
      <c r="I54" t="s">
        <v>594</v>
      </c>
      <c r="J54" t="s">
        <v>594</v>
      </c>
      <c r="K54" t="s">
        <v>470</v>
      </c>
      <c r="L54" t="s">
        <v>557</v>
      </c>
      <c r="M54" t="s">
        <v>20</v>
      </c>
      <c r="N54" s="1">
        <v>1213</v>
      </c>
      <c r="O54" s="2">
        <v>46117.131944444402</v>
      </c>
      <c r="P54" s="1">
        <v>1213</v>
      </c>
      <c r="Q54" s="2">
        <v>46139.617361111101</v>
      </c>
    </row>
    <row r="55" spans="1:17" x14ac:dyDescent="0.3">
      <c r="A55">
        <v>54</v>
      </c>
      <c r="C55" t="s">
        <v>465</v>
      </c>
      <c r="E55" s="1">
        <v>15355</v>
      </c>
      <c r="F55" s="1">
        <v>-1</v>
      </c>
      <c r="G55" t="s">
        <v>16</v>
      </c>
      <c r="H55" t="s">
        <v>595</v>
      </c>
      <c r="I55" t="s">
        <v>596</v>
      </c>
      <c r="J55" t="s">
        <v>596</v>
      </c>
      <c r="K55" t="s">
        <v>470</v>
      </c>
      <c r="L55" t="s">
        <v>557</v>
      </c>
      <c r="M55" t="s">
        <v>20</v>
      </c>
      <c r="N55" s="1">
        <v>1213</v>
      </c>
      <c r="O55" s="2">
        <v>46117.138888888898</v>
      </c>
      <c r="P55" s="1">
        <v>1213</v>
      </c>
      <c r="Q55" s="2">
        <v>46139.616666666698</v>
      </c>
    </row>
    <row r="56" spans="1:17" x14ac:dyDescent="0.3">
      <c r="A56">
        <v>55</v>
      </c>
      <c r="C56" t="s">
        <v>465</v>
      </c>
      <c r="E56" s="1">
        <v>15356</v>
      </c>
      <c r="F56" s="1">
        <v>-1</v>
      </c>
      <c r="G56" t="s">
        <v>16</v>
      </c>
      <c r="H56" t="s">
        <v>597</v>
      </c>
      <c r="I56" t="s">
        <v>598</v>
      </c>
      <c r="J56" t="s">
        <v>598</v>
      </c>
      <c r="K56" t="s">
        <v>470</v>
      </c>
      <c r="L56" t="s">
        <v>572</v>
      </c>
      <c r="M56" t="s">
        <v>20</v>
      </c>
      <c r="N56" s="1">
        <v>1213</v>
      </c>
      <c r="O56" s="2">
        <v>46117.139583333301</v>
      </c>
      <c r="P56" s="1">
        <v>1213</v>
      </c>
      <c r="Q56" s="2">
        <v>46140.3</v>
      </c>
    </row>
    <row r="57" spans="1:17" x14ac:dyDescent="0.3">
      <c r="A57">
        <v>56</v>
      </c>
      <c r="C57" t="s">
        <v>465</v>
      </c>
      <c r="E57" s="1">
        <v>15357</v>
      </c>
      <c r="F57" s="1">
        <v>-1</v>
      </c>
      <c r="G57" t="s">
        <v>16</v>
      </c>
      <c r="H57" t="s">
        <v>599</v>
      </c>
      <c r="I57" t="s">
        <v>600</v>
      </c>
      <c r="J57" t="s">
        <v>600</v>
      </c>
      <c r="K57" t="s">
        <v>470</v>
      </c>
      <c r="L57" t="s">
        <v>557</v>
      </c>
      <c r="M57" t="s">
        <v>20</v>
      </c>
      <c r="N57" s="1">
        <v>1213</v>
      </c>
      <c r="O57" s="2">
        <v>46117.139583333301</v>
      </c>
      <c r="P57" s="1">
        <v>1213</v>
      </c>
      <c r="Q57" s="2">
        <v>46139.616666666698</v>
      </c>
    </row>
    <row r="58" spans="1:17" x14ac:dyDescent="0.3">
      <c r="A58">
        <v>57</v>
      </c>
      <c r="E58" s="1">
        <v>15358</v>
      </c>
      <c r="F58" s="1">
        <v>-1</v>
      </c>
      <c r="G58" t="s">
        <v>16</v>
      </c>
      <c r="H58" t="s">
        <v>601</v>
      </c>
      <c r="I58" t="s">
        <v>602</v>
      </c>
      <c r="J58" t="s">
        <v>602</v>
      </c>
      <c r="K58" t="s">
        <v>470</v>
      </c>
      <c r="L58" t="s">
        <v>603</v>
      </c>
      <c r="M58" t="s">
        <v>20</v>
      </c>
      <c r="N58" s="1">
        <v>1213</v>
      </c>
      <c r="O58" s="2">
        <v>46117.140277777798</v>
      </c>
      <c r="P58" s="1">
        <v>1213</v>
      </c>
      <c r="Q58" s="2">
        <v>46141.359722222202</v>
      </c>
    </row>
    <row r="59" spans="1:17" x14ac:dyDescent="0.3">
      <c r="A59">
        <v>58</v>
      </c>
      <c r="C59" t="s">
        <v>465</v>
      </c>
      <c r="E59" s="1">
        <v>15359</v>
      </c>
      <c r="F59" s="1">
        <v>-1</v>
      </c>
      <c r="G59" t="s">
        <v>16</v>
      </c>
      <c r="H59" t="s">
        <v>604</v>
      </c>
      <c r="I59" t="s">
        <v>605</v>
      </c>
      <c r="J59" t="s">
        <v>605</v>
      </c>
      <c r="K59" t="s">
        <v>470</v>
      </c>
      <c r="L59" t="s">
        <v>557</v>
      </c>
      <c r="M59" t="s">
        <v>20</v>
      </c>
      <c r="N59" s="1">
        <v>1213</v>
      </c>
      <c r="O59" s="2">
        <v>46117.141666666699</v>
      </c>
      <c r="P59" s="1">
        <v>1213</v>
      </c>
      <c r="Q59" s="2">
        <v>46139.6159722222</v>
      </c>
    </row>
    <row r="60" spans="1:17" x14ac:dyDescent="0.3">
      <c r="A60">
        <v>59</v>
      </c>
      <c r="E60" s="1">
        <v>15360</v>
      </c>
      <c r="F60" s="1">
        <v>-1</v>
      </c>
      <c r="G60" t="s">
        <v>16</v>
      </c>
      <c r="H60" t="s">
        <v>606</v>
      </c>
      <c r="I60" t="s">
        <v>607</v>
      </c>
      <c r="J60" t="s">
        <v>607</v>
      </c>
      <c r="K60" t="s">
        <v>470</v>
      </c>
      <c r="L60" t="s">
        <v>557</v>
      </c>
      <c r="M60" t="s">
        <v>20</v>
      </c>
      <c r="N60" s="1">
        <v>1213</v>
      </c>
      <c r="O60" s="2">
        <v>46117.188194444403</v>
      </c>
      <c r="P60" s="1">
        <v>-1</v>
      </c>
      <c r="Q60" s="2">
        <v>46117.188194444403</v>
      </c>
    </row>
    <row r="61" spans="1:17" x14ac:dyDescent="0.3">
      <c r="A61">
        <v>60</v>
      </c>
      <c r="E61" s="1">
        <v>15361</v>
      </c>
      <c r="F61" s="1">
        <v>-1</v>
      </c>
      <c r="G61" t="s">
        <v>16</v>
      </c>
      <c r="H61" t="s">
        <v>608</v>
      </c>
      <c r="I61" t="s">
        <v>609</v>
      </c>
      <c r="J61" t="s">
        <v>609</v>
      </c>
      <c r="K61" t="s">
        <v>470</v>
      </c>
      <c r="L61" t="s">
        <v>557</v>
      </c>
      <c r="M61" t="s">
        <v>20</v>
      </c>
      <c r="N61" s="1">
        <v>1213</v>
      </c>
      <c r="O61" s="2">
        <v>46117.189583333296</v>
      </c>
      <c r="P61" s="1">
        <v>1213</v>
      </c>
      <c r="Q61" s="2">
        <v>46117.197916666701</v>
      </c>
    </row>
    <row r="62" spans="1:17" x14ac:dyDescent="0.3">
      <c r="A62">
        <v>61</v>
      </c>
      <c r="C62" t="s">
        <v>465</v>
      </c>
      <c r="E62" s="1">
        <v>15362</v>
      </c>
      <c r="F62" s="1">
        <v>-1</v>
      </c>
      <c r="G62" t="s">
        <v>16</v>
      </c>
      <c r="H62" t="s">
        <v>610</v>
      </c>
      <c r="I62" t="s">
        <v>611</v>
      </c>
      <c r="J62" t="s">
        <v>611</v>
      </c>
      <c r="K62" t="s">
        <v>470</v>
      </c>
      <c r="L62" t="s">
        <v>557</v>
      </c>
      <c r="M62" t="s">
        <v>20</v>
      </c>
      <c r="N62" s="1">
        <v>1213</v>
      </c>
      <c r="O62" s="2">
        <v>46117.190277777801</v>
      </c>
      <c r="P62" s="1">
        <v>1213</v>
      </c>
      <c r="Q62" s="2">
        <v>46117.197916666701</v>
      </c>
    </row>
    <row r="63" spans="1:17" x14ac:dyDescent="0.3">
      <c r="A63">
        <v>62</v>
      </c>
      <c r="C63" t="s">
        <v>465</v>
      </c>
      <c r="E63" s="1">
        <v>15363</v>
      </c>
      <c r="F63" s="1">
        <v>-1</v>
      </c>
      <c r="G63" t="s">
        <v>16</v>
      </c>
      <c r="H63" t="s">
        <v>612</v>
      </c>
      <c r="I63" t="s">
        <v>613</v>
      </c>
      <c r="J63" t="s">
        <v>613</v>
      </c>
      <c r="K63" t="s">
        <v>470</v>
      </c>
      <c r="L63" t="s">
        <v>557</v>
      </c>
      <c r="M63" t="s">
        <v>20</v>
      </c>
      <c r="N63" s="1">
        <v>1213</v>
      </c>
      <c r="O63" s="2">
        <v>46117.190277777801</v>
      </c>
      <c r="P63" s="1">
        <v>1213</v>
      </c>
      <c r="Q63" s="2">
        <v>46117.197916666701</v>
      </c>
    </row>
    <row r="64" spans="1:17" x14ac:dyDescent="0.3">
      <c r="A64">
        <v>63</v>
      </c>
      <c r="E64" s="1">
        <v>15455</v>
      </c>
      <c r="F64" s="1">
        <v>-1</v>
      </c>
      <c r="G64" t="s">
        <v>16</v>
      </c>
      <c r="H64" t="s">
        <v>614</v>
      </c>
      <c r="I64" t="s">
        <v>615</v>
      </c>
      <c r="J64" t="s">
        <v>615</v>
      </c>
      <c r="K64" t="s">
        <v>470</v>
      </c>
      <c r="L64" t="s">
        <v>554</v>
      </c>
      <c r="M64" t="s">
        <v>20</v>
      </c>
      <c r="N64" s="1">
        <v>1213</v>
      </c>
      <c r="O64" s="2">
        <v>46133.545833333301</v>
      </c>
      <c r="P64" s="1">
        <v>-1</v>
      </c>
      <c r="Q64" s="2">
        <v>46133.545833333301</v>
      </c>
    </row>
    <row r="65" spans="1:17" x14ac:dyDescent="0.3">
      <c r="A65">
        <v>64</v>
      </c>
      <c r="E65" s="1">
        <v>15460</v>
      </c>
      <c r="F65" s="1">
        <v>247</v>
      </c>
      <c r="G65" t="s">
        <v>16</v>
      </c>
      <c r="H65" t="s">
        <v>616</v>
      </c>
      <c r="I65" t="s">
        <v>617</v>
      </c>
      <c r="J65" t="s">
        <v>618</v>
      </c>
      <c r="K65" t="s">
        <v>470</v>
      </c>
      <c r="L65" t="s">
        <v>75</v>
      </c>
      <c r="M65" t="s">
        <v>20</v>
      </c>
      <c r="N65" s="1">
        <v>1213</v>
      </c>
      <c r="O65" s="2">
        <v>46135.105555555601</v>
      </c>
      <c r="P65" s="1">
        <v>-1</v>
      </c>
      <c r="Q65" s="2">
        <v>46135.105555555601</v>
      </c>
    </row>
    <row r="66" spans="1:17" x14ac:dyDescent="0.3">
      <c r="A66">
        <v>65</v>
      </c>
      <c r="E66" s="1">
        <v>15486</v>
      </c>
      <c r="F66" s="1">
        <v>-1</v>
      </c>
      <c r="G66" t="s">
        <v>16</v>
      </c>
      <c r="H66" t="s">
        <v>619</v>
      </c>
      <c r="I66" t="s">
        <v>620</v>
      </c>
      <c r="J66" t="s">
        <v>542</v>
      </c>
      <c r="K66" t="s">
        <v>470</v>
      </c>
      <c r="L66" t="s">
        <v>496</v>
      </c>
      <c r="M66" t="s">
        <v>20</v>
      </c>
      <c r="N66" s="1">
        <v>1213</v>
      </c>
      <c r="O66" s="2">
        <v>46157.058333333298</v>
      </c>
      <c r="P66" s="1">
        <v>-1</v>
      </c>
      <c r="Q66" s="2">
        <v>46157.058333333298</v>
      </c>
    </row>
    <row r="67" spans="1:17" x14ac:dyDescent="0.3">
      <c r="A67">
        <v>66</v>
      </c>
      <c r="E67" s="1">
        <v>15488</v>
      </c>
      <c r="F67" s="1">
        <v>-1</v>
      </c>
      <c r="G67" t="s">
        <v>16</v>
      </c>
      <c r="H67" t="s">
        <v>621</v>
      </c>
      <c r="I67" t="s">
        <v>622</v>
      </c>
      <c r="J67" t="s">
        <v>622</v>
      </c>
      <c r="K67" t="s">
        <v>470</v>
      </c>
      <c r="L67" t="s">
        <v>557</v>
      </c>
      <c r="M67" t="s">
        <v>20</v>
      </c>
      <c r="N67" s="1">
        <v>1213</v>
      </c>
      <c r="O67" s="2">
        <v>46158.122916666704</v>
      </c>
      <c r="P67" s="1">
        <v>-1</v>
      </c>
      <c r="Q67" s="2">
        <v>46158.122916666704</v>
      </c>
    </row>
    <row r="68" spans="1:17" x14ac:dyDescent="0.3">
      <c r="A68">
        <v>67</v>
      </c>
      <c r="E68" s="1">
        <v>15489</v>
      </c>
      <c r="F68" s="1">
        <v>-1</v>
      </c>
      <c r="G68" t="s">
        <v>16</v>
      </c>
      <c r="H68" t="s">
        <v>623</v>
      </c>
      <c r="I68" t="s">
        <v>624</v>
      </c>
      <c r="J68" t="s">
        <v>624</v>
      </c>
      <c r="K68" t="s">
        <v>470</v>
      </c>
      <c r="L68" t="s">
        <v>557</v>
      </c>
      <c r="M68" t="s">
        <v>20</v>
      </c>
      <c r="N68" s="1">
        <v>1213</v>
      </c>
      <c r="O68" s="2">
        <v>46158.122916666704</v>
      </c>
      <c r="P68" s="1">
        <v>-1</v>
      </c>
      <c r="Q68" s="2">
        <v>46158.122916666704</v>
      </c>
    </row>
    <row r="69" spans="1:17" x14ac:dyDescent="0.3">
      <c r="A69">
        <v>68</v>
      </c>
      <c r="E69" s="1">
        <v>15513</v>
      </c>
      <c r="F69" s="1">
        <v>-1</v>
      </c>
      <c r="G69" t="s">
        <v>16</v>
      </c>
      <c r="H69" t="s">
        <v>625</v>
      </c>
      <c r="I69" t="s">
        <v>626</v>
      </c>
      <c r="J69" t="s">
        <v>627</v>
      </c>
      <c r="K69" t="s">
        <v>470</v>
      </c>
      <c r="L69" t="s">
        <v>496</v>
      </c>
      <c r="M69" t="s">
        <v>20</v>
      </c>
      <c r="N69" s="1">
        <v>1213</v>
      </c>
      <c r="O69" s="2">
        <v>46172.427777777797</v>
      </c>
      <c r="P69" s="1">
        <v>-1</v>
      </c>
      <c r="Q69" s="2">
        <v>46172.427777777797</v>
      </c>
    </row>
    <row r="70" spans="1:17" x14ac:dyDescent="0.3">
      <c r="A70">
        <v>69</v>
      </c>
      <c r="E70" s="1">
        <v>15522</v>
      </c>
      <c r="F70" s="1">
        <v>-1</v>
      </c>
      <c r="G70" t="s">
        <v>16</v>
      </c>
      <c r="H70" t="s">
        <v>628</v>
      </c>
      <c r="I70" t="s">
        <v>629</v>
      </c>
      <c r="J70" t="s">
        <v>630</v>
      </c>
      <c r="K70" t="s">
        <v>470</v>
      </c>
      <c r="L70" t="s">
        <v>496</v>
      </c>
      <c r="M70" t="s">
        <v>20</v>
      </c>
      <c r="N70" s="1">
        <v>1213</v>
      </c>
      <c r="O70" s="2">
        <v>46176.987500000003</v>
      </c>
      <c r="P70" s="1">
        <v>1213</v>
      </c>
      <c r="Q70" s="2">
        <v>46177.1694444444</v>
      </c>
    </row>
    <row r="71" spans="1:17" x14ac:dyDescent="0.3">
      <c r="A71">
        <v>70</v>
      </c>
      <c r="E71" s="1">
        <v>15538</v>
      </c>
      <c r="F71" s="1">
        <v>-1</v>
      </c>
      <c r="G71" t="s">
        <v>16</v>
      </c>
      <c r="H71" t="s">
        <v>631</v>
      </c>
      <c r="I71" t="s">
        <v>632</v>
      </c>
      <c r="J71" t="s">
        <v>633</v>
      </c>
      <c r="K71" t="s">
        <v>470</v>
      </c>
      <c r="L71" t="s">
        <v>75</v>
      </c>
      <c r="M71" t="s">
        <v>20</v>
      </c>
      <c r="N71" s="1">
        <v>1213</v>
      </c>
      <c r="O71" s="2">
        <v>46183.410416666702</v>
      </c>
      <c r="P71" s="1">
        <v>-1</v>
      </c>
      <c r="Q71" s="2">
        <v>46183.410416666702</v>
      </c>
    </row>
    <row r="72" spans="1:17" x14ac:dyDescent="0.3">
      <c r="A72">
        <v>71</v>
      </c>
      <c r="E72" s="1">
        <v>15555</v>
      </c>
      <c r="F72" s="1">
        <v>-1</v>
      </c>
      <c r="G72" t="s">
        <v>16</v>
      </c>
      <c r="H72" t="s">
        <v>634</v>
      </c>
      <c r="I72" t="s">
        <v>635</v>
      </c>
      <c r="J72" t="s">
        <v>635</v>
      </c>
      <c r="K72" t="s">
        <v>470</v>
      </c>
      <c r="L72" t="s">
        <v>557</v>
      </c>
      <c r="M72" t="s">
        <v>20</v>
      </c>
      <c r="N72" s="1">
        <v>1213</v>
      </c>
      <c r="O72" s="2">
        <v>46188.118750000001</v>
      </c>
      <c r="P72" s="1">
        <v>1213</v>
      </c>
      <c r="Q72" s="2">
        <v>46206.120833333298</v>
      </c>
    </row>
    <row r="73" spans="1:17" x14ac:dyDescent="0.3">
      <c r="A73">
        <v>72</v>
      </c>
      <c r="E73" s="1">
        <v>15567</v>
      </c>
      <c r="F73" s="1">
        <v>-1</v>
      </c>
      <c r="G73" t="s">
        <v>16</v>
      </c>
      <c r="H73" t="s">
        <v>636</v>
      </c>
      <c r="I73" t="s">
        <v>637</v>
      </c>
      <c r="J73" t="s">
        <v>553</v>
      </c>
      <c r="K73" t="s">
        <v>470</v>
      </c>
      <c r="L73" t="s">
        <v>554</v>
      </c>
      <c r="M73" t="s">
        <v>20</v>
      </c>
      <c r="N73" s="1">
        <v>1213</v>
      </c>
      <c r="O73" s="2">
        <v>46195.1743055556</v>
      </c>
      <c r="P73" s="1">
        <v>-1</v>
      </c>
      <c r="Q73" s="2">
        <v>46195.1743055556</v>
      </c>
    </row>
    <row r="74" spans="1:17" x14ac:dyDescent="0.3">
      <c r="A74">
        <v>73</v>
      </c>
      <c r="E74" s="1">
        <v>15572</v>
      </c>
      <c r="F74" s="1">
        <v>-1</v>
      </c>
      <c r="G74" t="s">
        <v>16</v>
      </c>
      <c r="H74" t="s">
        <v>638</v>
      </c>
      <c r="I74" t="s">
        <v>639</v>
      </c>
      <c r="J74" t="s">
        <v>639</v>
      </c>
      <c r="K74" t="s">
        <v>470</v>
      </c>
      <c r="L74" t="s">
        <v>557</v>
      </c>
      <c r="M74" t="s">
        <v>20</v>
      </c>
      <c r="N74" s="1">
        <v>1213</v>
      </c>
      <c r="O74" s="2">
        <v>46196.039583333302</v>
      </c>
      <c r="P74" s="1">
        <v>1213</v>
      </c>
      <c r="Q74" s="2">
        <v>46196.043749999997</v>
      </c>
    </row>
    <row r="75" spans="1:17" x14ac:dyDescent="0.3">
      <c r="A75">
        <v>74</v>
      </c>
      <c r="E75" s="1">
        <v>15585</v>
      </c>
      <c r="F75" s="1">
        <v>345</v>
      </c>
      <c r="G75" t="s">
        <v>16</v>
      </c>
      <c r="H75" t="s">
        <v>640</v>
      </c>
      <c r="I75" t="s">
        <v>641</v>
      </c>
      <c r="J75" t="s">
        <v>642</v>
      </c>
      <c r="K75" t="s">
        <v>470</v>
      </c>
      <c r="L75" t="s">
        <v>75</v>
      </c>
      <c r="M75" t="s">
        <v>20</v>
      </c>
      <c r="N75" s="1">
        <v>1213</v>
      </c>
      <c r="O75" s="2">
        <v>46197.591666666704</v>
      </c>
      <c r="P75" s="1">
        <v>-1</v>
      </c>
      <c r="Q75" s="2">
        <v>46197.591666666704</v>
      </c>
    </row>
    <row r="76" spans="1:17" x14ac:dyDescent="0.3">
      <c r="A76">
        <v>75</v>
      </c>
      <c r="E76" s="1">
        <v>15607</v>
      </c>
      <c r="F76" s="1">
        <v>-1</v>
      </c>
      <c r="G76" t="s">
        <v>16</v>
      </c>
      <c r="H76" t="s">
        <v>643</v>
      </c>
      <c r="I76" t="s">
        <v>644</v>
      </c>
      <c r="J76" t="s">
        <v>644</v>
      </c>
      <c r="K76" t="s">
        <v>470</v>
      </c>
      <c r="L76" t="s">
        <v>496</v>
      </c>
      <c r="M76" t="s">
        <v>20</v>
      </c>
      <c r="N76" s="1">
        <v>1213</v>
      </c>
      <c r="O76" s="2">
        <v>46210.390277777798</v>
      </c>
      <c r="P76" s="1">
        <v>-1</v>
      </c>
      <c r="Q76" s="2">
        <v>46210.390277777798</v>
      </c>
    </row>
    <row r="77" spans="1:17" x14ac:dyDescent="0.3">
      <c r="A77">
        <v>76</v>
      </c>
      <c r="E77" s="1">
        <v>15612</v>
      </c>
      <c r="F77" s="1">
        <v>247</v>
      </c>
      <c r="G77" t="s">
        <v>16</v>
      </c>
      <c r="H77" t="s">
        <v>645</v>
      </c>
      <c r="I77" t="s">
        <v>646</v>
      </c>
      <c r="J77" t="s">
        <v>647</v>
      </c>
      <c r="K77" t="s">
        <v>470</v>
      </c>
      <c r="L77" t="s">
        <v>648</v>
      </c>
      <c r="M77" t="s">
        <v>20</v>
      </c>
      <c r="N77" s="1">
        <v>1213</v>
      </c>
      <c r="O77" s="2">
        <v>46217.192361111098</v>
      </c>
      <c r="P77" s="1">
        <v>-1</v>
      </c>
      <c r="Q77" s="2">
        <v>46217.192361111098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Editor_Explorer_All</vt:lpstr>
      <vt:lpstr>Thang08_2026</vt:lpstr>
      <vt:lpstr>Sheet1</vt:lpstr>
      <vt:lpstr>Reporter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Tín - TinNT</dc:creator>
  <cp:lastModifiedBy>Nguyen Thanh Tin</cp:lastModifiedBy>
  <dcterms:created xsi:type="dcterms:W3CDTF">2026-08-01T04:05:55Z</dcterms:created>
  <dcterms:modified xsi:type="dcterms:W3CDTF">2026-09-25T08:45:17Z</dcterms:modified>
</cp:coreProperties>
</file>