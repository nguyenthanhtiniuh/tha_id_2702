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a8f99b74e7f8fb/Tài liệu/GitHub/tha_id_2702/2_KeHoanhTaiChinh/KehoachDongtien/"/>
    </mc:Choice>
  </mc:AlternateContent>
  <xr:revisionPtr revIDLastSave="4" documentId="13_ncr:1_{E745BD5A-4557-4483-BF11-E9D2858B0428}" xr6:coauthVersionLast="47" xr6:coauthVersionMax="47" xr10:uidLastSave="{6082C724-847F-4ADB-9486-3DDD19287AD9}"/>
  <bookViews>
    <workbookView xWindow="-28920" yWindow="1605" windowWidth="29040" windowHeight="15720" xr2:uid="{29356327-B25C-4106-A298-DE7A3BC1D4B4}"/>
  </bookViews>
  <sheets>
    <sheet name="KH THU CHI" sheetId="1" r:id="rId1"/>
    <sheet name="Sheet1" sheetId="2" r:id="rId2"/>
    <sheet name="Sheet2" sheetId="3" r:id="rId3"/>
    <sheet name="Sheet3" sheetId="4" r:id="rId4"/>
  </sheets>
  <definedNames>
    <definedName name="_1000A01">#N/A</definedName>
    <definedName name="_Fill">#REF!</definedName>
    <definedName name="_xlnm._FilterDatabase" hidden="1">#REF!</definedName>
    <definedName name="_h1" hidden="1">{"'Sheet1'!$L$16"}</definedName>
    <definedName name="_h1_1" hidden="1">{"'Sheet1'!$L$16"}</definedName>
    <definedName name="_hu1" hidden="1">{"'Sheet1'!$L$16"}</definedName>
    <definedName name="_hu1_1" hidden="1">{"'Sheet1'!$L$16"}</definedName>
    <definedName name="_hu2" hidden="1">{"'Sheet1'!$L$16"}</definedName>
    <definedName name="_hu2_1" hidden="1">{"'Sheet1'!$L$16"}</definedName>
    <definedName name="_hu5" hidden="1">{"'Sheet1'!$L$16"}</definedName>
    <definedName name="_hu5_1" hidden="1">{"'Sheet1'!$L$16"}</definedName>
    <definedName name="_hu6" hidden="1">{"'Sheet1'!$L$16"}</definedName>
    <definedName name="_hu6_1" hidden="1">{"'Sheet1'!$L$16"}</definedName>
    <definedName name="_Key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PIN">#N/A</definedName>
    <definedName name="ALPJYOU">#N/A</definedName>
    <definedName name="ALPTOI">#N/A</definedName>
    <definedName name="CATIN">#N/A</definedName>
    <definedName name="CATJYOU">#N/A</definedName>
    <definedName name="CATREC">#N/A</definedName>
    <definedName name="CATSYU">#N/A</definedName>
    <definedName name="fkdjgk" hidden="1">#REF!</definedName>
    <definedName name="GU" hidden="1">{"'Sheet1'!$L$16"}</definedName>
    <definedName name="GU_1" hidden="1">{"'Sheet1'!$L$16"}</definedName>
    <definedName name="h" hidden="1">{"'Sheet1'!$L$16"}</definedName>
    <definedName name="h_3" hidden="1">{"'Sheet1'!$L$16"}</definedName>
    <definedName name="HTML_CodePage" hidden="1">950</definedName>
    <definedName name="HTML_Control" hidden="1">{"'Sheet1'!$L$16"}</definedName>
    <definedName name="HTML_Control_3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uy_3" hidden="1">{"'Sheet1'!$L$16"}</definedName>
    <definedName name="lfkdlg" hidden="1">#REF!</definedName>
    <definedName name="mngkng" hidden="1">#REF!</definedName>
    <definedName name="ngjfhgjhg" hidden="1">#REF!</definedName>
    <definedName name="_xlnm.Print_Titles" localSheetId="0">'KH THU CHI'!$4:$5</definedName>
    <definedName name="RECOUT">#N/A</definedName>
    <definedName name="sdfvd">#REF!</definedName>
    <definedName name="Spanner_Auto_File">"C:\My Documents\tinh cdo.x2a"</definedName>
    <definedName name="wqqw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 a="1"/>
  <c r="C6" i="1" s="1"/>
  <c r="R31" i="1"/>
  <c r="K20" i="1"/>
  <c r="P53" i="1"/>
  <c r="Q53" i="1"/>
  <c r="P54" i="1"/>
  <c r="Q54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C1" i="3"/>
  <c r="B1" i="3" a="1"/>
  <c r="B1" i="3" s="1"/>
  <c r="B1" i="2" a="1"/>
  <c r="M30" i="1"/>
  <c r="M36" i="1" s="1"/>
  <c r="N29" i="1"/>
  <c r="M23" i="1"/>
  <c r="L25" i="1"/>
  <c r="M24" i="1" s="1"/>
  <c r="C1" i="2" l="1" a="1"/>
  <c r="B1" i="2"/>
  <c r="M20" i="1"/>
  <c r="D1" i="2" l="1"/>
  <c r="C1" i="2"/>
  <c r="L66" i="1"/>
  <c r="M66" i="1" l="1"/>
  <c r="N66" i="1" l="1"/>
  <c r="O6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6" authorId="0" shapeId="0" xr:uid="{8826285B-5F43-4F8E-962E-7A23515D5DC3}">
      <text>
        <r>
          <rPr>
            <b/>
            <sz val="9"/>
            <color indexed="81"/>
            <rFont val="Tahoma"/>
            <family val="2"/>
          </rPr>
          <t>- Tiền thừa : Trả nợ trước hạn
- Tiền thiếu : Nhận nợ bổ sung vốn lưu động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<sst xmlns="http://schemas.openxmlformats.org/spreadsheetml/2006/main" count="183" uniqueCount="158">
  <si>
    <t>TÊN: CÔNG TY TNHH MỘT THÀNH VIÊN SẢN XUẤT NHÍP Ô TÔ CHU LAI TRƯỜNG HẢI</t>
  </si>
  <si>
    <t>KHỐI: THACO Industries - Các NM CNHT</t>
  </si>
  <si>
    <t>ĐỊA CHỈ: THÔN 4, XÃ TAM HIỆP, HUYỆN NÚI THÀNH, TỈNH QUẢNG NAM</t>
  </si>
  <si>
    <t>KẾ HOẠCH THU CHI THÁNG 1/2026</t>
  </si>
  <si>
    <t>STT</t>
  </si>
  <si>
    <t>Mã hoạt động</t>
  </si>
  <si>
    <t>Nội dung</t>
  </si>
  <si>
    <t>Tổng cộng</t>
  </si>
  <si>
    <t>Kế hoạch tháng 10/2025 (VNĐ)</t>
  </si>
  <si>
    <t>Tuần 1</t>
  </si>
  <si>
    <t>Tuần 2</t>
  </si>
  <si>
    <t>Tuần 3</t>
  </si>
  <si>
    <t>Tuần 4</t>
  </si>
  <si>
    <t>A</t>
  </si>
  <si>
    <t>DÒNG TIỀN KINH DOANH</t>
  </si>
  <si>
    <t>I</t>
  </si>
  <si>
    <t>Thu tiền kinh doanh</t>
  </si>
  <si>
    <t>Thu tiền bán hàng</t>
  </si>
  <si>
    <t>Trong Thaco</t>
  </si>
  <si>
    <t>BHAT</t>
  </si>
  <si>
    <t>Thaco Auto</t>
  </si>
  <si>
    <t>BHTGR</t>
  </si>
  <si>
    <t>Thagrico</t>
  </si>
  <si>
    <t>BHTDC</t>
  </si>
  <si>
    <t>Thadico</t>
  </si>
  <si>
    <t>BHTLG</t>
  </si>
  <si>
    <t>Thilogi</t>
  </si>
  <si>
    <t>BHIND</t>
  </si>
  <si>
    <t>Thaco Industries</t>
  </si>
  <si>
    <t>Ngoài Thaco</t>
  </si>
  <si>
    <t>BHTN</t>
  </si>
  <si>
    <t>Trong nước</t>
  </si>
  <si>
    <t>CFOO1-03,CFOO3-01</t>
  </si>
  <si>
    <t>BHNN</t>
  </si>
  <si>
    <t>Ngoài nước</t>
  </si>
  <si>
    <t>CFOO3-01</t>
  </si>
  <si>
    <t>TNK</t>
  </si>
  <si>
    <t>Thu hoàn thuế nhập khẩu/thuế GTGT</t>
  </si>
  <si>
    <t>THUK</t>
  </si>
  <si>
    <t xml:space="preserve">Thu khác </t>
  </si>
  <si>
    <t>II</t>
  </si>
  <si>
    <t>Chi tiền kinh doanh</t>
  </si>
  <si>
    <t>NT</t>
  </si>
  <si>
    <t>Nộp thuế</t>
  </si>
  <si>
    <t>Chi tiền mua hàng hóa</t>
  </si>
  <si>
    <t>số đúng thu khác</t>
  </si>
  <si>
    <t>lêch</t>
  </si>
  <si>
    <t>Công nợ trong Thaco</t>
  </si>
  <si>
    <t>NTHACO</t>
  </si>
  <si>
    <t>Công nợ Thaco Group</t>
  </si>
  <si>
    <t>NAUTO</t>
  </si>
  <si>
    <t>Công nợ Thaco Auto</t>
  </si>
  <si>
    <t>NIND</t>
  </si>
  <si>
    <t>Công nợ Thaco Industries</t>
  </si>
  <si>
    <t>NTGR</t>
  </si>
  <si>
    <t>Công nợ Thagrico</t>
  </si>
  <si>
    <t>NTLG</t>
  </si>
  <si>
    <t>Công nợ Thilogi</t>
  </si>
  <si>
    <t>NTDC</t>
  </si>
  <si>
    <t>Công nợ Thadico</t>
  </si>
  <si>
    <t>Công nợ ngoài Thaco</t>
  </si>
  <si>
    <t>NNN</t>
  </si>
  <si>
    <t>Công nợ nước ngoài</t>
  </si>
  <si>
    <t>NTN</t>
  </si>
  <si>
    <t>Công nợ trong nước</t>
  </si>
  <si>
    <t>CP hoạt động khác</t>
  </si>
  <si>
    <t>LUONG</t>
  </si>
  <si>
    <t>Lương</t>
  </si>
  <si>
    <t>BH</t>
  </si>
  <si>
    <t>Bảo hiểm</t>
  </si>
  <si>
    <t>KHAC</t>
  </si>
  <si>
    <t>Chi phí khác.</t>
  </si>
  <si>
    <t>B</t>
  </si>
  <si>
    <t>DÒNG TIỀN TÀI CHÍNH</t>
  </si>
  <si>
    <t xml:space="preserve">Thu hoạt động tài chính </t>
  </si>
  <si>
    <t>Vay ngân hàng</t>
  </si>
  <si>
    <t>VNH</t>
  </si>
  <si>
    <t>Vay ngắn hạn</t>
  </si>
  <si>
    <t xml:space="preserve">VDH </t>
  </si>
  <si>
    <t>Vay dài hạn</t>
  </si>
  <si>
    <t>Vay nội bộ</t>
  </si>
  <si>
    <t>VAUTO</t>
  </si>
  <si>
    <t>Vay Thaco Auto</t>
  </si>
  <si>
    <t>VAYIND</t>
  </si>
  <si>
    <t>Vay  các ĐV thuộc Thaco Industries</t>
  </si>
  <si>
    <t>CHS</t>
  </si>
  <si>
    <t>Thu tiền góp vốn</t>
  </si>
  <si>
    <t>Chi hoạt động tài chính</t>
  </si>
  <si>
    <t>Trả nợ vay ngân hàng</t>
  </si>
  <si>
    <t>CHIVNH</t>
  </si>
  <si>
    <t xml:space="preserve">CHIVDH </t>
  </si>
  <si>
    <t>CHIVQH</t>
  </si>
  <si>
    <t>VQH</t>
  </si>
  <si>
    <t>Vay quá hạn</t>
  </si>
  <si>
    <t>CHILV</t>
  </si>
  <si>
    <t>LV</t>
  </si>
  <si>
    <t>Lãi vay + chi phí ngân hàng</t>
  </si>
  <si>
    <t>LV-THACO</t>
  </si>
  <si>
    <t>Lãi vay Thaco</t>
  </si>
  <si>
    <t>Trả nợ vay nội bộ</t>
  </si>
  <si>
    <t>CHIVAUTO</t>
  </si>
  <si>
    <t>CHILV THACO</t>
  </si>
  <si>
    <t>Chia/chuyển lợi nhuận</t>
  </si>
  <si>
    <t>LNTHACO</t>
  </si>
  <si>
    <t>Thaco group</t>
  </si>
  <si>
    <t>LNDT</t>
  </si>
  <si>
    <t>Đối tác</t>
  </si>
  <si>
    <t>C</t>
  </si>
  <si>
    <t>CHI ĐẦU TƯ</t>
  </si>
  <si>
    <t>XDCB</t>
  </si>
  <si>
    <t>Chi đầu tư XDCB</t>
  </si>
  <si>
    <t>MMTB</t>
  </si>
  <si>
    <t>Chi đầu tư MMTB</t>
  </si>
  <si>
    <t>HTKT</t>
  </si>
  <si>
    <t>Chi đầu tư hỗ trợ kỹ thuật</t>
  </si>
  <si>
    <t>D</t>
  </si>
  <si>
    <t>DÒNG TIỀN THUẦN (A+B-C )</t>
  </si>
  <si>
    <t>E</t>
  </si>
  <si>
    <t>TỒN ĐẦU</t>
  </si>
  <si>
    <t>TIỀN TỒN ĐẦU KỲ</t>
  </si>
  <si>
    <t>F</t>
  </si>
  <si>
    <t>TIỀN TỒN CUỐI KỲ</t>
  </si>
  <si>
    <t>THỪA/ THIẾU</t>
  </si>
  <si>
    <t>G</t>
  </si>
  <si>
    <t>DƯ NỢ ĐẦU KỲ</t>
  </si>
  <si>
    <t>Nợ trả chậm</t>
  </si>
  <si>
    <t>Nợ vay ngân hàng</t>
  </si>
  <si>
    <t>Ngắn hạn</t>
  </si>
  <si>
    <t>Dài hạn</t>
  </si>
  <si>
    <t>III</t>
  </si>
  <si>
    <t>Nợ vay nội bộ</t>
  </si>
  <si>
    <t>H</t>
  </si>
  <si>
    <t>DƯ NỢ CUỐI KỲ</t>
  </si>
  <si>
    <t>Tăng/(giảm) nợ vay trong kỳ</t>
  </si>
  <si>
    <t>Chu Lai, ngày 31 tháng 12 năm 2025</t>
  </si>
  <si>
    <t>TGĐ Thaco INDUSTRIES</t>
  </si>
  <si>
    <t>GĐ.TC - KT THACO INDUSTRIES</t>
  </si>
  <si>
    <t>GIÁM ĐỐC</t>
  </si>
  <si>
    <t>Đỗ Minh Tâm</t>
  </si>
  <si>
    <t>Nguyễn Văn Hùng</t>
  </si>
  <si>
    <t>Trần Đức Minh</t>
  </si>
  <si>
    <t>CFOO1-01,CFOO1-02,CFOO1-03,CFOO1-04,CFOO2-01,CFOO2-02,CFOO2-03,CFOO3-01,CFOO3-02,CFOO3-03,CFOO3-04,CFOO3-05,CFOO4-01,CFOO4-02,CFOO4-03</t>
  </si>
  <si>
    <t>CFOO1-03</t>
  </si>
  <si>
    <t>CFOO1-04</t>
  </si>
  <si>
    <t>CFOO2-01</t>
  </si>
  <si>
    <t>CFOO4-02</t>
  </si>
  <si>
    <t>CFOO4-03</t>
  </si>
  <si>
    <t>CFFO1-05 : Trả lãi vay ngân hàng ngắn hạn</t>
  </si>
  <si>
    <t>CFFO2-01 : Trả nợ vay công ty ngắn hạn</t>
  </si>
  <si>
    <t>CFOO1-01 : Nhà cung cấp độc quyền</t>
  </si>
  <si>
    <t>CFOO1-03 : Nộp thuế nhập khẩu</t>
  </si>
  <si>
    <t>CFOO1-04 : Dịch vụ mua ngoài</t>
  </si>
  <si>
    <t>CFOO2-01 : Thanh toán lương</t>
  </si>
  <si>
    <t>CFOO2-02 : Nộp bảo hiểm, phí công đoàn</t>
  </si>
  <si>
    <t>CFOO3-01 : Chi nộp thuế nội địa</t>
  </si>
  <si>
    <t>CFOO4-02 : Chi tạm ứng</t>
  </si>
  <si>
    <t>CFOO4-03 : Chi khác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</si>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</sst>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 * #,##0.0_ ;_ * &quot;\&quot;\!\-#,##0.0_ ;_ * &quot;-&quot;_ ;_ @_ "/>
    <numFmt numFmtId="166" formatCode="_(* #,##0.00_);_(* \(#,##0.00\);_(* \-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돋움"/>
      <family val="3"/>
      <charset val="129"/>
    </font>
    <font>
      <sz val="12"/>
      <name val="Arial"/>
      <family val="2"/>
    </font>
    <font>
      <b/>
      <sz val="11"/>
      <name val="Times New Roman"/>
      <family val="1"/>
    </font>
    <font>
      <b/>
      <sz val="11"/>
      <color rgb="FF0000FF"/>
      <name val="Times New Roman"/>
      <family val="1"/>
    </font>
    <font>
      <i/>
      <sz val="11"/>
      <name val="Times New Roman"/>
      <family val="1"/>
    </font>
    <font>
      <i/>
      <sz val="11"/>
      <color rgb="FFFF0000"/>
      <name val="Times New Roman"/>
      <family val="1"/>
    </font>
    <font>
      <sz val="11"/>
      <name val="Times New Roman"/>
      <family val="1"/>
    </font>
    <font>
      <sz val="10"/>
      <color theme="1"/>
      <name val="Cambria"/>
      <family val="1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sz val="11"/>
      <color rgb="FF00502F"/>
      <name val="Arial"/>
      <family val="2"/>
    </font>
    <font>
      <i/>
      <sz val="11"/>
      <color theme="1"/>
      <name val="Times New Roman"/>
      <family val="1"/>
    </font>
    <font>
      <sz val="10"/>
      <color rgb="FF01775D"/>
      <name val="Arial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5" fillId="0" borderId="0">
      <protection locked="0"/>
    </xf>
    <xf numFmtId="166" fontId="6" fillId="0" borderId="0" applyFill="0" applyBorder="0" applyAlignment="0" applyProtection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1" applyNumberFormat="1" applyFont="1"/>
    <xf numFmtId="0" fontId="4" fillId="0" borderId="0" xfId="0" applyFont="1"/>
    <xf numFmtId="164" fontId="2" fillId="2" borderId="1" xfId="1" applyNumberFormat="1" applyFont="1" applyFill="1" applyBorder="1" applyAlignment="1">
      <alignment horizontal="center" vertical="center" wrapText="1"/>
    </xf>
    <xf numFmtId="0" fontId="7" fillId="3" borderId="1" xfId="3" applyNumberFormat="1" applyFont="1" applyFill="1" applyBorder="1" applyAlignment="1">
      <alignment horizontal="center" vertical="center"/>
    </xf>
    <xf numFmtId="0" fontId="7" fillId="3" borderId="1" xfId="3" applyNumberFormat="1" applyFont="1" applyFill="1" applyBorder="1" applyAlignment="1">
      <alignment vertical="center"/>
    </xf>
    <xf numFmtId="164" fontId="2" fillId="3" borderId="1" xfId="1" applyNumberFormat="1" applyFont="1" applyFill="1" applyBorder="1"/>
    <xf numFmtId="0" fontId="7" fillId="4" borderId="1" xfId="3" applyNumberFormat="1" applyFont="1" applyFill="1" applyBorder="1" applyAlignment="1">
      <alignment horizontal="center" vertical="center"/>
    </xf>
    <xf numFmtId="0" fontId="7" fillId="4" borderId="1" xfId="3" applyNumberFormat="1" applyFont="1" applyFill="1" applyBorder="1" applyAlignment="1">
      <alignment horizontal="left" vertical="center"/>
    </xf>
    <xf numFmtId="164" fontId="2" fillId="4" borderId="1" xfId="1" applyNumberFormat="1" applyFont="1" applyFill="1" applyBorder="1"/>
    <xf numFmtId="0" fontId="8" fillId="5" borderId="1" xfId="3" applyNumberFormat="1" applyFont="1" applyFill="1" applyBorder="1" applyAlignment="1">
      <alignment horizontal="center" vertical="center"/>
    </xf>
    <xf numFmtId="0" fontId="8" fillId="5" borderId="1" xfId="3" applyNumberFormat="1" applyFont="1" applyFill="1" applyBorder="1" applyAlignment="1">
      <alignment vertical="center"/>
    </xf>
    <xf numFmtId="164" fontId="8" fillId="0" borderId="1" xfId="1" applyNumberFormat="1" applyFont="1" applyBorder="1"/>
    <xf numFmtId="0" fontId="8" fillId="0" borderId="0" xfId="0" applyFont="1"/>
    <xf numFmtId="0" fontId="9" fillId="5" borderId="1" xfId="3" quotePrefix="1" applyNumberFormat="1" applyFont="1" applyFill="1" applyBorder="1" applyAlignment="1">
      <alignment horizontal="center" vertical="center"/>
    </xf>
    <xf numFmtId="0" fontId="9" fillId="5" borderId="1" xfId="3" applyNumberFormat="1" applyFont="1" applyFill="1" applyBorder="1" applyAlignment="1">
      <alignment horizontal="left" vertical="center" indent="2"/>
    </xf>
    <xf numFmtId="164" fontId="10" fillId="5" borderId="1" xfId="1" applyNumberFormat="1" applyFont="1" applyFill="1" applyBorder="1" applyAlignment="1">
      <alignment horizontal="left" vertical="center" indent="2"/>
    </xf>
    <xf numFmtId="164" fontId="4" fillId="0" borderId="1" xfId="1" applyNumberFormat="1" applyFont="1" applyBorder="1"/>
    <xf numFmtId="164" fontId="9" fillId="5" borderId="1" xfId="1" applyNumberFormat="1" applyFont="1" applyFill="1" applyBorder="1" applyAlignment="1">
      <alignment horizontal="left" vertical="center" indent="2"/>
    </xf>
    <xf numFmtId="164" fontId="4" fillId="0" borderId="0" xfId="0" applyNumberFormat="1" applyFont="1"/>
    <xf numFmtId="164" fontId="9" fillId="2" borderId="1" xfId="1" applyNumberFormat="1" applyFont="1" applyFill="1" applyBorder="1" applyAlignment="1">
      <alignment horizontal="left" vertical="center" indent="2"/>
    </xf>
    <xf numFmtId="3" fontId="4" fillId="0" borderId="0" xfId="0" applyNumberFormat="1" applyFont="1"/>
    <xf numFmtId="164" fontId="8" fillId="2" borderId="1" xfId="1" applyNumberFormat="1" applyFont="1" applyFill="1" applyBorder="1"/>
    <xf numFmtId="0" fontId="8" fillId="0" borderId="0" xfId="0" applyFont="1" applyAlignment="1">
      <alignment horizontal="center"/>
    </xf>
    <xf numFmtId="164" fontId="8" fillId="0" borderId="0" xfId="1" applyNumberFormat="1" applyFont="1"/>
    <xf numFmtId="3" fontId="8" fillId="2" borderId="0" xfId="0" applyNumberFormat="1" applyFont="1" applyFill="1"/>
    <xf numFmtId="164" fontId="11" fillId="0" borderId="1" xfId="1" applyNumberFormat="1" applyFont="1" applyBorder="1"/>
    <xf numFmtId="4" fontId="4" fillId="0" borderId="0" xfId="0" applyNumberFormat="1" applyFont="1"/>
    <xf numFmtId="4" fontId="8" fillId="0" borderId="0" xfId="0" applyNumberFormat="1" applyFont="1"/>
    <xf numFmtId="0" fontId="9" fillId="5" borderId="1" xfId="3" applyNumberFormat="1" applyFont="1" applyFill="1" applyBorder="1" applyAlignment="1">
      <alignment horizontal="center" vertical="center"/>
    </xf>
    <xf numFmtId="0" fontId="9" fillId="5" borderId="1" xfId="3" applyNumberFormat="1" applyFont="1" applyFill="1" applyBorder="1" applyAlignment="1">
      <alignment vertical="center"/>
    </xf>
    <xf numFmtId="164" fontId="11" fillId="2" borderId="1" xfId="1" applyNumberFormat="1" applyFont="1" applyFill="1" applyBorder="1"/>
    <xf numFmtId="164" fontId="4" fillId="2" borderId="1" xfId="1" applyNumberFormat="1" applyFont="1" applyFill="1" applyBorder="1"/>
    <xf numFmtId="0" fontId="12" fillId="0" borderId="0" xfId="4" applyFont="1" applyAlignment="1">
      <alignment horizontal="center" vertical="center"/>
    </xf>
    <xf numFmtId="164" fontId="11" fillId="5" borderId="1" xfId="1" applyNumberFormat="1" applyFont="1" applyFill="1" applyBorder="1"/>
    <xf numFmtId="3" fontId="8" fillId="0" borderId="0" xfId="0" applyNumberFormat="1" applyFont="1"/>
    <xf numFmtId="164" fontId="4" fillId="3" borderId="1" xfId="1" applyNumberFormat="1" applyFont="1" applyFill="1" applyBorder="1"/>
    <xf numFmtId="0" fontId="11" fillId="5" borderId="1" xfId="3" applyNumberFormat="1" applyFont="1" applyFill="1" applyBorder="1" applyAlignment="1">
      <alignment horizontal="center" vertical="center"/>
    </xf>
    <xf numFmtId="164" fontId="4" fillId="0" borderId="0" xfId="1" applyNumberFormat="1" applyFont="1"/>
    <xf numFmtId="0" fontId="7" fillId="5" borderId="1" xfId="3" applyNumberFormat="1" applyFont="1" applyFill="1" applyBorder="1" applyAlignment="1">
      <alignment horizontal="center" vertical="center"/>
    </xf>
    <xf numFmtId="0" fontId="7" fillId="5" borderId="1" xfId="3" applyNumberFormat="1" applyFont="1" applyFill="1" applyBorder="1" applyAlignment="1">
      <alignment vertical="center"/>
    </xf>
    <xf numFmtId="164" fontId="13" fillId="0" borderId="1" xfId="1" applyNumberFormat="1" applyFont="1" applyBorder="1"/>
    <xf numFmtId="164" fontId="2" fillId="0" borderId="1" xfId="1" applyNumberFormat="1" applyFont="1" applyBorder="1"/>
    <xf numFmtId="0" fontId="13" fillId="5" borderId="1" xfId="3" applyNumberFormat="1" applyFont="1" applyFill="1" applyBorder="1" applyAlignment="1">
      <alignment horizontal="center" vertical="center"/>
    </xf>
    <xf numFmtId="0" fontId="13" fillId="5" borderId="1" xfId="3" applyNumberFormat="1" applyFont="1" applyFill="1" applyBorder="1" applyAlignment="1">
      <alignment vertical="center"/>
    </xf>
    <xf numFmtId="164" fontId="14" fillId="5" borderId="1" xfId="1" applyNumberFormat="1" applyFont="1" applyFill="1" applyBorder="1" applyAlignment="1">
      <alignment horizontal="left" vertical="center" indent="2"/>
    </xf>
    <xf numFmtId="164" fontId="13" fillId="5" borderId="1" xfId="1" applyNumberFormat="1" applyFont="1" applyFill="1" applyBorder="1"/>
    <xf numFmtId="164" fontId="4" fillId="0" borderId="0" xfId="1" applyNumberFormat="1" applyFont="1" applyFill="1" applyBorder="1"/>
    <xf numFmtId="0" fontId="4" fillId="5" borderId="3" xfId="5" applyFont="1" applyFill="1" applyBorder="1" applyAlignment="1">
      <alignment horizontal="center" vertical="center"/>
    </xf>
    <xf numFmtId="0" fontId="4" fillId="5" borderId="0" xfId="5" applyFont="1" applyFill="1" applyAlignment="1">
      <alignment vertical="center"/>
    </xf>
    <xf numFmtId="164" fontId="4" fillId="5" borderId="0" xfId="1" applyNumberFormat="1" applyFont="1" applyFill="1" applyBorder="1" applyAlignment="1">
      <alignment vertical="center"/>
    </xf>
    <xf numFmtId="164" fontId="7" fillId="5" borderId="1" xfId="1" applyNumberFormat="1" applyFont="1" applyFill="1" applyBorder="1" applyAlignment="1">
      <alignment vertical="center"/>
    </xf>
    <xf numFmtId="0" fontId="11" fillId="5" borderId="1" xfId="3" quotePrefix="1" applyNumberFormat="1" applyFont="1" applyFill="1" applyBorder="1" applyAlignment="1">
      <alignment horizontal="center" vertical="center"/>
    </xf>
    <xf numFmtId="0" fontId="11" fillId="5" borderId="1" xfId="3" applyNumberFormat="1" applyFont="1" applyFill="1" applyBorder="1" applyAlignment="1">
      <alignment horizontal="left" vertical="center" indent="2"/>
    </xf>
    <xf numFmtId="164" fontId="11" fillId="5" borderId="1" xfId="1" applyNumberFormat="1" applyFont="1" applyFill="1" applyBorder="1" applyAlignment="1">
      <alignment horizontal="left" vertical="center" indent="2"/>
    </xf>
    <xf numFmtId="164" fontId="4" fillId="6" borderId="1" xfId="1" applyNumberFormat="1" applyFont="1" applyFill="1" applyBorder="1"/>
    <xf numFmtId="3" fontId="15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3" fontId="17" fillId="0" borderId="0" xfId="0" applyNumberFormat="1" applyFont="1"/>
    <xf numFmtId="0" fontId="2" fillId="2" borderId="1" xfId="2" applyNumberFormat="1" applyFont="1" applyFill="1" applyBorder="1" applyAlignment="1" applyProtection="1">
      <alignment horizontal="center" vertical="center" wrapText="1"/>
    </xf>
    <xf numFmtId="49" fontId="0" fillId="0" borderId="0" xfId="0" applyNumberFormat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2" fillId="2" borderId="1" xfId="2" applyNumberFormat="1" applyFont="1" applyFill="1" applyBorder="1" applyAlignment="1" applyProtection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</cellXfs>
  <cellStyles count="6">
    <cellStyle name="Comma" xfId="1" builtinId="3"/>
    <cellStyle name="Comma 2" xfId="3" xr:uid="{986C17F7-8840-4677-BCB5-ADE766325DDB}"/>
    <cellStyle name="Normal" xfId="0" builtinId="0"/>
    <cellStyle name="Normal 227" xfId="5" xr:uid="{AA70BB5F-F196-4DBC-B932-D3423B8EFAD5}"/>
    <cellStyle name="Normal 4" xfId="4" xr:uid="{E0D1BA1D-553E-49C2-8BFF-135AB717E312}"/>
    <cellStyle name="콤_현안과제QIR4(rio)_Book2_토요안건(0316)_Book1" xfId="2" xr:uid="{65AC4F5A-3080-4BBA-A22F-0241A07B2F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7248-4C86-41DA-8781-2159E229D955}">
  <dimension ref="A1:R91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8.6640625" defaultRowHeight="13.8" x14ac:dyDescent="0.25"/>
  <cols>
    <col min="1" max="1" width="92.21875" style="59" bestFit="1" customWidth="1"/>
    <col min="2" max="2" width="13.5546875" style="4" bestFit="1" customWidth="1"/>
    <col min="3" max="3" width="13.5546875" style="4" customWidth="1"/>
    <col min="4" max="4" width="35.6640625" style="4" bestFit="1" customWidth="1"/>
    <col min="5" max="5" width="20.44140625" style="40" bestFit="1" customWidth="1"/>
    <col min="6" max="9" width="16.33203125" style="40" bestFit="1" customWidth="1"/>
    <col min="10" max="10" width="13.77734375" style="4" bestFit="1" customWidth="1"/>
    <col min="11" max="11" width="12.6640625" style="4" bestFit="1" customWidth="1"/>
    <col min="12" max="12" width="16.5546875" style="4" bestFit="1" customWidth="1"/>
    <col min="13" max="13" width="20" style="4" bestFit="1" customWidth="1"/>
    <col min="14" max="14" width="14.109375" style="4" bestFit="1" customWidth="1"/>
    <col min="15" max="15" width="37.21875" style="4" bestFit="1" customWidth="1"/>
    <col min="16" max="16" width="9.88671875" style="4" bestFit="1" customWidth="1"/>
    <col min="17" max="17" width="27.77734375" style="4" bestFit="1" customWidth="1"/>
    <col min="18" max="18" width="13.77734375" style="4" bestFit="1" customWidth="1"/>
    <col min="19" max="16384" width="8.6640625" style="4"/>
  </cols>
  <sheetData>
    <row r="1" spans="1:13" s="1" customFormat="1" x14ac:dyDescent="0.25">
      <c r="A1" s="1" t="s">
        <v>0</v>
      </c>
      <c r="G1" s="68" t="s">
        <v>1</v>
      </c>
      <c r="H1" s="68"/>
      <c r="I1" s="68"/>
    </row>
    <row r="2" spans="1:13" s="1" customFormat="1" x14ac:dyDescent="0.25">
      <c r="A2" s="2" t="s">
        <v>2</v>
      </c>
      <c r="E2" s="3"/>
      <c r="F2" s="3"/>
      <c r="G2" s="3"/>
      <c r="H2" s="3"/>
      <c r="I2" s="3"/>
    </row>
    <row r="3" spans="1:13" ht="21" customHeight="1" x14ac:dyDescent="0.25">
      <c r="A3" s="69" t="s">
        <v>3</v>
      </c>
      <c r="B3" s="69"/>
      <c r="C3" s="69"/>
      <c r="D3" s="69"/>
      <c r="E3" s="69"/>
      <c r="F3" s="69"/>
      <c r="G3" s="69"/>
      <c r="H3" s="69"/>
      <c r="I3" s="69"/>
    </row>
    <row r="4" spans="1:13" ht="15" customHeight="1" x14ac:dyDescent="0.25">
      <c r="A4" s="70" t="s">
        <v>4</v>
      </c>
      <c r="B4" s="70" t="s">
        <v>5</v>
      </c>
      <c r="C4" s="63"/>
      <c r="D4" s="70" t="s">
        <v>6</v>
      </c>
      <c r="E4" s="71" t="s">
        <v>7</v>
      </c>
      <c r="F4" s="72" t="s">
        <v>8</v>
      </c>
      <c r="G4" s="73"/>
      <c r="H4" s="73"/>
      <c r="I4" s="73"/>
    </row>
    <row r="5" spans="1:13" x14ac:dyDescent="0.25">
      <c r="A5" s="70"/>
      <c r="B5" s="70"/>
      <c r="C5" s="63" t="s">
        <v>157</v>
      </c>
      <c r="D5" s="70"/>
      <c r="E5" s="71"/>
      <c r="F5" s="5" t="s">
        <v>9</v>
      </c>
      <c r="G5" s="5" t="s">
        <v>10</v>
      </c>
      <c r="H5" s="5" t="s">
        <v>11</v>
      </c>
      <c r="I5" s="5" t="s">
        <v>12</v>
      </c>
    </row>
    <row r="6" spans="1:13" s="1" customFormat="1" ht="16.2" customHeight="1" x14ac:dyDescent="0.25">
      <c r="A6" s="6" t="s">
        <v>13</v>
      </c>
      <c r="B6" s="6"/>
      <c r="C6" s="6" cm="1">
        <f t="array" ref="C6:C66">_xlfn.SEQUENCE(COUNTA(D6:D66))</f>
        <v>1</v>
      </c>
      <c r="D6" s="7" t="s">
        <v>14</v>
      </c>
      <c r="E6" s="8">
        <v>-4912507763</v>
      </c>
      <c r="F6" s="8">
        <v>849643621</v>
      </c>
      <c r="G6" s="8">
        <v>-3672952269</v>
      </c>
      <c r="H6" s="8">
        <v>2442504987</v>
      </c>
      <c r="I6" s="8">
        <v>-4531704102</v>
      </c>
    </row>
    <row r="7" spans="1:13" s="1" customFormat="1" ht="16.2" customHeight="1" x14ac:dyDescent="0.25">
      <c r="A7" s="9" t="s">
        <v>15</v>
      </c>
      <c r="B7" s="9"/>
      <c r="C7" s="9">
        <v>2</v>
      </c>
      <c r="D7" s="10" t="s">
        <v>16</v>
      </c>
      <c r="E7" s="11">
        <v>6887710209</v>
      </c>
      <c r="F7" s="11">
        <v>2073163360</v>
      </c>
      <c r="G7" s="11">
        <v>123332136</v>
      </c>
      <c r="H7" s="11">
        <v>3188609558</v>
      </c>
      <c r="I7" s="11">
        <v>1502605155</v>
      </c>
    </row>
    <row r="8" spans="1:13" s="15" customFormat="1" ht="16.2" customHeight="1" x14ac:dyDescent="0.25">
      <c r="A8" s="12">
        <v>1</v>
      </c>
      <c r="B8" s="12"/>
      <c r="C8" s="12">
        <v>3</v>
      </c>
      <c r="D8" s="13" t="s">
        <v>17</v>
      </c>
      <c r="E8" s="14">
        <v>6854457678</v>
      </c>
      <c r="F8" s="14">
        <v>2049183360</v>
      </c>
      <c r="G8" s="14">
        <v>121472136</v>
      </c>
      <c r="H8" s="14">
        <v>3185049005</v>
      </c>
      <c r="I8" s="14">
        <v>1498753177</v>
      </c>
    </row>
    <row r="9" spans="1:13" s="15" customFormat="1" ht="16.2" customHeight="1" x14ac:dyDescent="0.25">
      <c r="A9" s="12">
        <v>1.1000000000000001</v>
      </c>
      <c r="B9" s="12"/>
      <c r="C9" s="12">
        <v>4</v>
      </c>
      <c r="D9" s="13" t="s">
        <v>18</v>
      </c>
      <c r="E9" s="14">
        <v>206675981</v>
      </c>
      <c r="F9" s="14">
        <v>0</v>
      </c>
      <c r="G9" s="14">
        <v>121472136</v>
      </c>
      <c r="H9" s="14">
        <v>85203845</v>
      </c>
      <c r="I9" s="14">
        <v>0</v>
      </c>
    </row>
    <row r="10" spans="1:13" ht="16.2" customHeight="1" x14ac:dyDescent="0.25">
      <c r="A10" s="16"/>
      <c r="B10" s="16" t="s">
        <v>19</v>
      </c>
      <c r="C10" s="16">
        <v>5</v>
      </c>
      <c r="D10" s="17" t="s">
        <v>20</v>
      </c>
      <c r="E10" s="18">
        <v>121472136</v>
      </c>
      <c r="F10" s="19">
        <v>0</v>
      </c>
      <c r="G10" s="19">
        <v>121472136</v>
      </c>
      <c r="H10" s="19">
        <v>0</v>
      </c>
      <c r="I10" s="19">
        <v>0</v>
      </c>
    </row>
    <row r="11" spans="1:13" ht="16.2" customHeight="1" x14ac:dyDescent="0.25">
      <c r="A11" s="16"/>
      <c r="B11" s="16" t="s">
        <v>21</v>
      </c>
      <c r="C11" s="16">
        <v>6</v>
      </c>
      <c r="D11" s="17" t="s">
        <v>22</v>
      </c>
      <c r="E11" s="20">
        <v>0</v>
      </c>
      <c r="F11" s="19">
        <v>0</v>
      </c>
      <c r="G11" s="19">
        <v>0</v>
      </c>
      <c r="H11" s="19">
        <v>0</v>
      </c>
      <c r="I11" s="19">
        <v>0</v>
      </c>
      <c r="L11" s="21"/>
    </row>
    <row r="12" spans="1:13" ht="16.2" customHeight="1" x14ac:dyDescent="0.25">
      <c r="A12" s="16"/>
      <c r="B12" s="16" t="s">
        <v>23</v>
      </c>
      <c r="C12" s="16">
        <v>7</v>
      </c>
      <c r="D12" s="17" t="s">
        <v>24</v>
      </c>
      <c r="E12" s="20">
        <v>0</v>
      </c>
      <c r="F12" s="19">
        <v>0</v>
      </c>
      <c r="G12" s="19">
        <v>0</v>
      </c>
      <c r="H12" s="19">
        <v>0</v>
      </c>
      <c r="I12" s="19">
        <v>0</v>
      </c>
    </row>
    <row r="13" spans="1:13" ht="16.2" customHeight="1" x14ac:dyDescent="0.25">
      <c r="A13" s="16"/>
      <c r="B13" s="16" t="s">
        <v>25</v>
      </c>
      <c r="C13" s="16">
        <v>8</v>
      </c>
      <c r="D13" s="17" t="s">
        <v>26</v>
      </c>
      <c r="E13" s="20">
        <v>0</v>
      </c>
      <c r="F13" s="19">
        <v>0</v>
      </c>
      <c r="G13" s="19">
        <v>0</v>
      </c>
      <c r="H13" s="19">
        <v>0</v>
      </c>
      <c r="I13" s="19">
        <v>0</v>
      </c>
    </row>
    <row r="14" spans="1:13" ht="16.2" customHeight="1" x14ac:dyDescent="0.25">
      <c r="A14" s="16"/>
      <c r="B14" s="16" t="s">
        <v>27</v>
      </c>
      <c r="C14" s="16">
        <v>9</v>
      </c>
      <c r="D14" s="17" t="s">
        <v>28</v>
      </c>
      <c r="E14" s="18">
        <v>85203845</v>
      </c>
      <c r="F14" s="19">
        <v>0</v>
      </c>
      <c r="G14" s="19">
        <v>0</v>
      </c>
      <c r="H14" s="19">
        <v>85203845</v>
      </c>
      <c r="I14" s="19">
        <v>0</v>
      </c>
    </row>
    <row r="15" spans="1:13" s="15" customFormat="1" ht="16.2" customHeight="1" x14ac:dyDescent="0.25">
      <c r="A15" s="12">
        <v>1.2</v>
      </c>
      <c r="B15" s="12"/>
      <c r="C15" s="12">
        <v>10</v>
      </c>
      <c r="D15" s="13" t="s">
        <v>29</v>
      </c>
      <c r="E15" s="14">
        <v>6647781697</v>
      </c>
      <c r="F15" s="14">
        <v>2049183360</v>
      </c>
      <c r="G15" s="14">
        <v>0</v>
      </c>
      <c r="H15" s="14">
        <v>3099845160</v>
      </c>
      <c r="I15" s="14">
        <v>1498753177</v>
      </c>
    </row>
    <row r="16" spans="1:13" ht="16.2" customHeight="1" x14ac:dyDescent="0.25">
      <c r="A16" s="16"/>
      <c r="B16" s="16" t="s">
        <v>30</v>
      </c>
      <c r="C16" s="16">
        <v>11</v>
      </c>
      <c r="D16" s="17" t="s">
        <v>31</v>
      </c>
      <c r="E16" s="18">
        <v>5609030760</v>
      </c>
      <c r="F16" s="19">
        <v>2049183360</v>
      </c>
      <c r="G16" s="19">
        <v>0</v>
      </c>
      <c r="H16" s="19">
        <v>3099845160</v>
      </c>
      <c r="I16" s="19">
        <v>460002240</v>
      </c>
      <c r="M16" s="4" t="s">
        <v>32</v>
      </c>
    </row>
    <row r="17" spans="1:18" ht="16.2" customHeight="1" x14ac:dyDescent="0.25">
      <c r="A17" s="16"/>
      <c r="B17" s="16" t="s">
        <v>33</v>
      </c>
      <c r="C17" s="16">
        <v>12</v>
      </c>
      <c r="D17" s="17" t="s">
        <v>34</v>
      </c>
      <c r="E17" s="18">
        <v>1038750937</v>
      </c>
      <c r="F17" s="19">
        <v>0</v>
      </c>
      <c r="G17" s="19">
        <v>0</v>
      </c>
      <c r="H17" s="19">
        <v>0</v>
      </c>
      <c r="I17" s="19">
        <v>1038750937</v>
      </c>
      <c r="M17" s="4" t="s">
        <v>35</v>
      </c>
    </row>
    <row r="18" spans="1:18" s="15" customFormat="1" ht="16.2" customHeight="1" x14ac:dyDescent="0.25">
      <c r="A18" s="12">
        <v>2</v>
      </c>
      <c r="B18" s="12" t="s">
        <v>36</v>
      </c>
      <c r="C18" s="12">
        <v>13</v>
      </c>
      <c r="D18" s="13" t="s">
        <v>37</v>
      </c>
      <c r="E18" s="20">
        <v>0</v>
      </c>
      <c r="F18" s="19">
        <v>0</v>
      </c>
      <c r="G18" s="19">
        <v>0</v>
      </c>
      <c r="H18" s="19">
        <v>0</v>
      </c>
      <c r="I18" s="19">
        <v>0</v>
      </c>
    </row>
    <row r="19" spans="1:18" s="15" customFormat="1" ht="16.2" customHeight="1" x14ac:dyDescent="0.25">
      <c r="A19" s="12">
        <v>3</v>
      </c>
      <c r="B19" s="12" t="s">
        <v>38</v>
      </c>
      <c r="C19" s="12">
        <v>14</v>
      </c>
      <c r="D19" s="13" t="s">
        <v>39</v>
      </c>
      <c r="E19" s="22">
        <v>33252531</v>
      </c>
      <c r="F19" s="19">
        <v>23980000</v>
      </c>
      <c r="G19" s="19">
        <v>1860000</v>
      </c>
      <c r="H19" s="19">
        <v>3560553</v>
      </c>
      <c r="I19" s="19">
        <v>3851978</v>
      </c>
    </row>
    <row r="20" spans="1:18" ht="16.2" customHeight="1" x14ac:dyDescent="0.25">
      <c r="A20" s="9" t="s">
        <v>40</v>
      </c>
      <c r="B20" s="9"/>
      <c r="C20" s="9">
        <v>15</v>
      </c>
      <c r="D20" s="10" t="s">
        <v>41</v>
      </c>
      <c r="E20" s="11">
        <v>11800217972</v>
      </c>
      <c r="F20" s="11">
        <v>1223519739</v>
      </c>
      <c r="G20" s="11">
        <v>3796284405</v>
      </c>
      <c r="H20" s="11">
        <v>746104571</v>
      </c>
      <c r="I20" s="11">
        <v>6034309257</v>
      </c>
      <c r="J20" s="23">
        <v>10125048847</v>
      </c>
      <c r="K20" s="23">
        <f>E20-J20</f>
        <v>1675169125</v>
      </c>
      <c r="L20" s="23">
        <v>9278833802</v>
      </c>
      <c r="M20" s="23">
        <f>+E20-L20</f>
        <v>2521384170</v>
      </c>
    </row>
    <row r="21" spans="1:18" s="15" customFormat="1" ht="16.2" customHeight="1" x14ac:dyDescent="0.25">
      <c r="A21" s="12">
        <v>1</v>
      </c>
      <c r="B21" s="12" t="s">
        <v>42</v>
      </c>
      <c r="C21" s="12">
        <v>16</v>
      </c>
      <c r="D21" s="13" t="s">
        <v>43</v>
      </c>
      <c r="E21" s="14">
        <v>708482028</v>
      </c>
      <c r="F21" s="14">
        <v>659995943</v>
      </c>
      <c r="G21" s="14">
        <v>0</v>
      </c>
      <c r="H21" s="14">
        <v>14387418</v>
      </c>
      <c r="I21" s="24">
        <v>34098667</v>
      </c>
    </row>
    <row r="22" spans="1:18" s="15" customFormat="1" ht="16.2" customHeight="1" x14ac:dyDescent="0.25">
      <c r="A22" s="12">
        <v>2</v>
      </c>
      <c r="B22" s="12"/>
      <c r="C22" s="12">
        <v>17</v>
      </c>
      <c r="D22" s="13" t="s">
        <v>44</v>
      </c>
      <c r="E22" s="14">
        <v>10677160417</v>
      </c>
      <c r="F22" s="14">
        <v>513473366</v>
      </c>
      <c r="G22" s="14">
        <v>3524129325</v>
      </c>
      <c r="H22" s="14">
        <v>731717153</v>
      </c>
      <c r="I22" s="14">
        <v>5907840573</v>
      </c>
      <c r="L22" s="25" t="s">
        <v>45</v>
      </c>
      <c r="M22" s="25" t="s">
        <v>46</v>
      </c>
    </row>
    <row r="23" spans="1:18" s="15" customFormat="1" ht="16.2" customHeight="1" x14ac:dyDescent="0.3">
      <c r="A23" s="12">
        <v>2.1</v>
      </c>
      <c r="B23" s="12"/>
      <c r="C23" s="12">
        <v>18</v>
      </c>
      <c r="D23" s="13" t="s">
        <v>47</v>
      </c>
      <c r="E23" s="14">
        <v>15045000</v>
      </c>
      <c r="F23" s="14">
        <v>0</v>
      </c>
      <c r="G23" s="14">
        <v>15045000</v>
      </c>
      <c r="H23" s="14">
        <v>0</v>
      </c>
      <c r="I23" s="14">
        <v>0</v>
      </c>
      <c r="L23" s="26">
        <v>33222838</v>
      </c>
      <c r="M23" s="27">
        <f>+L23-L24</f>
        <v>320179</v>
      </c>
      <c r="O23" s="66" t="s">
        <v>149</v>
      </c>
      <c r="P23" s="66" t="str">
        <f t="shared" ref="P23:P30" si="0">_xlfn.TEXTBEFORE(O23, ":")</f>
        <v xml:space="preserve">CFOO1-01 </v>
      </c>
      <c r="Q23" s="66" t="str">
        <f t="shared" ref="Q23:Q30" si="1">_xlfn.TEXTAFTER(O23, ":")</f>
        <v xml:space="preserve"> Nhà cung cấp độc quyền</v>
      </c>
      <c r="R23" s="67">
        <v>15045000</v>
      </c>
    </row>
    <row r="24" spans="1:18" ht="16.2" customHeight="1" x14ac:dyDescent="0.3">
      <c r="A24" s="16"/>
      <c r="B24" s="16" t="s">
        <v>48</v>
      </c>
      <c r="C24" s="16">
        <v>19</v>
      </c>
      <c r="D24" s="17" t="s">
        <v>49</v>
      </c>
      <c r="E24" s="20">
        <v>0</v>
      </c>
      <c r="F24" s="28">
        <v>0</v>
      </c>
      <c r="G24" s="28">
        <v>0</v>
      </c>
      <c r="H24" s="28">
        <v>0</v>
      </c>
      <c r="I24" s="28">
        <v>0</v>
      </c>
      <c r="L24" s="23">
        <v>32902659</v>
      </c>
      <c r="M24" s="23">
        <f>+L25-M23</f>
        <v>29693</v>
      </c>
      <c r="O24" s="66" t="s">
        <v>150</v>
      </c>
      <c r="P24" s="66" t="str">
        <f t="shared" si="0"/>
        <v xml:space="preserve">CFOO1-03 </v>
      </c>
      <c r="Q24" s="66" t="str">
        <f t="shared" si="1"/>
        <v xml:space="preserve"> Nộp thuế nhập khẩu</v>
      </c>
      <c r="R24" s="67">
        <v>659995943</v>
      </c>
    </row>
    <row r="25" spans="1:18" ht="16.2" customHeight="1" x14ac:dyDescent="0.3">
      <c r="A25" s="16"/>
      <c r="B25" s="16" t="s">
        <v>50</v>
      </c>
      <c r="C25" s="16">
        <v>20</v>
      </c>
      <c r="D25" s="17" t="s">
        <v>51</v>
      </c>
      <c r="E25" s="20">
        <v>0</v>
      </c>
      <c r="F25" s="28">
        <v>0</v>
      </c>
      <c r="G25" s="28">
        <v>0</v>
      </c>
      <c r="H25" s="28">
        <v>0</v>
      </c>
      <c r="I25" s="28">
        <v>0</v>
      </c>
      <c r="L25" s="23">
        <f>+E19-L24</f>
        <v>349872</v>
      </c>
      <c r="O25" s="66" t="s">
        <v>151</v>
      </c>
      <c r="P25" s="66" t="str">
        <f t="shared" si="0"/>
        <v xml:space="preserve">CFOO1-04 </v>
      </c>
      <c r="Q25" s="66" t="str">
        <f t="shared" si="1"/>
        <v xml:space="preserve"> Dịch vụ mua ngoài</v>
      </c>
      <c r="R25" s="67">
        <v>9263788802</v>
      </c>
    </row>
    <row r="26" spans="1:18" ht="16.2" customHeight="1" x14ac:dyDescent="0.3">
      <c r="A26" s="16"/>
      <c r="B26" s="16" t="s">
        <v>52</v>
      </c>
      <c r="C26" s="16">
        <v>21</v>
      </c>
      <c r="D26" s="17" t="s">
        <v>53</v>
      </c>
      <c r="E26" s="20">
        <v>0</v>
      </c>
      <c r="F26" s="28">
        <v>0</v>
      </c>
      <c r="G26" s="28">
        <v>0</v>
      </c>
      <c r="H26" s="28">
        <v>0</v>
      </c>
      <c r="I26" s="28">
        <v>0</v>
      </c>
      <c r="O26" s="66" t="s">
        <v>152</v>
      </c>
      <c r="P26" s="66" t="str">
        <f t="shared" si="0"/>
        <v xml:space="preserve">CFOO2-01 </v>
      </c>
      <c r="Q26" s="66" t="str">
        <f t="shared" si="1"/>
        <v xml:space="preserve"> Thanh toán lương</v>
      </c>
      <c r="R26" s="67">
        <v>54429230</v>
      </c>
    </row>
    <row r="27" spans="1:18" ht="16.2" customHeight="1" x14ac:dyDescent="0.3">
      <c r="A27" s="16"/>
      <c r="B27" s="16" t="s">
        <v>54</v>
      </c>
      <c r="C27" s="16">
        <v>22</v>
      </c>
      <c r="D27" s="17" t="s">
        <v>55</v>
      </c>
      <c r="E27" s="20">
        <v>0</v>
      </c>
      <c r="F27" s="28">
        <v>0</v>
      </c>
      <c r="G27" s="28">
        <v>0</v>
      </c>
      <c r="H27" s="28">
        <v>0</v>
      </c>
      <c r="I27" s="28">
        <v>0</v>
      </c>
      <c r="O27" s="66" t="s">
        <v>153</v>
      </c>
      <c r="P27" s="66" t="str">
        <f t="shared" si="0"/>
        <v xml:space="preserve">CFOO2-02 </v>
      </c>
      <c r="Q27" s="66" t="str">
        <f t="shared" si="1"/>
        <v xml:space="preserve"> Nộp bảo hiểm, phí công đoàn</v>
      </c>
      <c r="R27" s="67">
        <v>11004315</v>
      </c>
    </row>
    <row r="28" spans="1:18" ht="16.2" customHeight="1" x14ac:dyDescent="0.3">
      <c r="A28" s="16"/>
      <c r="B28" s="16" t="s">
        <v>56</v>
      </c>
      <c r="C28" s="16">
        <v>23</v>
      </c>
      <c r="D28" s="17" t="s">
        <v>57</v>
      </c>
      <c r="E28" s="20">
        <v>0</v>
      </c>
      <c r="F28" s="28">
        <v>0</v>
      </c>
      <c r="G28" s="28">
        <v>0</v>
      </c>
      <c r="H28" s="28">
        <v>0</v>
      </c>
      <c r="I28" s="28">
        <v>0</v>
      </c>
      <c r="L28" s="23"/>
      <c r="M28" s="4">
        <v>18432590312</v>
      </c>
      <c r="O28" s="66" t="s">
        <v>154</v>
      </c>
      <c r="P28" s="66" t="str">
        <f t="shared" si="0"/>
        <v xml:space="preserve">CFOO3-01 </v>
      </c>
      <c r="Q28" s="66" t="str">
        <f t="shared" si="1"/>
        <v xml:space="preserve"> Chi nộp thuế nội địa</v>
      </c>
      <c r="R28" s="67">
        <v>48486085</v>
      </c>
    </row>
    <row r="29" spans="1:18" ht="16.2" customHeight="1" x14ac:dyDescent="0.3">
      <c r="A29" s="16"/>
      <c r="B29" s="16" t="s">
        <v>58</v>
      </c>
      <c r="C29" s="16">
        <v>24</v>
      </c>
      <c r="D29" s="17" t="s">
        <v>59</v>
      </c>
      <c r="E29" s="20">
        <v>15045000</v>
      </c>
      <c r="F29" s="28">
        <v>0</v>
      </c>
      <c r="G29" s="28">
        <v>15045000</v>
      </c>
      <c r="H29" s="28">
        <v>0</v>
      </c>
      <c r="I29" s="28">
        <v>0</v>
      </c>
      <c r="M29" s="4">
        <v>9720579487</v>
      </c>
      <c r="N29" s="4">
        <f>+M29*2</f>
        <v>19441158974</v>
      </c>
      <c r="O29" s="66" t="s">
        <v>155</v>
      </c>
      <c r="P29" s="66" t="str">
        <f t="shared" si="0"/>
        <v xml:space="preserve">CFOO4-02 </v>
      </c>
      <c r="Q29" s="66" t="str">
        <f t="shared" si="1"/>
        <v xml:space="preserve"> Chi tạm ứng</v>
      </c>
      <c r="R29" s="67">
        <v>9396000</v>
      </c>
    </row>
    <row r="30" spans="1:18" s="15" customFormat="1" ht="16.2" customHeight="1" x14ac:dyDescent="0.3">
      <c r="A30" s="12">
        <v>2.2000000000000002</v>
      </c>
      <c r="B30" s="12"/>
      <c r="C30" s="12">
        <v>25</v>
      </c>
      <c r="D30" s="13" t="s">
        <v>60</v>
      </c>
      <c r="E30" s="24">
        <v>10662115417</v>
      </c>
      <c r="F30" s="14">
        <v>513473366</v>
      </c>
      <c r="G30" s="14">
        <v>3509084325</v>
      </c>
      <c r="H30" s="14">
        <v>731717153</v>
      </c>
      <c r="I30" s="14">
        <v>5907840573</v>
      </c>
      <c r="M30" s="26">
        <f>+M28-M29</f>
        <v>8712010825</v>
      </c>
      <c r="O30" s="66" t="s">
        <v>156</v>
      </c>
      <c r="P30" s="66" t="str">
        <f t="shared" si="0"/>
        <v xml:space="preserve">CFOO4-03 </v>
      </c>
      <c r="Q30" s="66" t="str">
        <f t="shared" si="1"/>
        <v xml:space="preserve"> Chi khác</v>
      </c>
      <c r="R30" s="67">
        <v>1113278493</v>
      </c>
    </row>
    <row r="31" spans="1:18" ht="16.2" customHeight="1" x14ac:dyDescent="0.25">
      <c r="A31" s="16"/>
      <c r="B31" s="16" t="s">
        <v>61</v>
      </c>
      <c r="C31" s="16">
        <v>26</v>
      </c>
      <c r="D31" s="17" t="s">
        <v>62</v>
      </c>
      <c r="E31" s="22">
        <v>8678787987</v>
      </c>
      <c r="F31" s="28">
        <v>0</v>
      </c>
      <c r="G31" s="28">
        <v>3239556238</v>
      </c>
      <c r="H31" s="28">
        <v>0</v>
      </c>
      <c r="I31" s="28">
        <v>5439231749</v>
      </c>
      <c r="L31" s="21"/>
      <c r="M31" s="29">
        <v>1827462582</v>
      </c>
      <c r="R31" s="23">
        <f>SUM(R23:R30)</f>
        <v>11175423868</v>
      </c>
    </row>
    <row r="32" spans="1:18" ht="16.2" customHeight="1" x14ac:dyDescent="0.25">
      <c r="A32" s="16"/>
      <c r="B32" s="16" t="s">
        <v>63</v>
      </c>
      <c r="C32" s="16">
        <v>27</v>
      </c>
      <c r="D32" s="17" t="s">
        <v>64</v>
      </c>
      <c r="E32" s="22">
        <v>1983327430</v>
      </c>
      <c r="F32" s="28">
        <v>513473366</v>
      </c>
      <c r="G32" s="28">
        <v>269528087</v>
      </c>
      <c r="H32" s="28">
        <v>731717153</v>
      </c>
      <c r="I32" s="28">
        <v>468608824</v>
      </c>
      <c r="M32" s="29">
        <v>1412093656</v>
      </c>
    </row>
    <row r="33" spans="1:13" s="15" customFormat="1" ht="16.2" customHeight="1" x14ac:dyDescent="0.25">
      <c r="A33" s="12">
        <v>3</v>
      </c>
      <c r="B33" s="12"/>
      <c r="C33" s="12">
        <v>28</v>
      </c>
      <c r="D33" s="13" t="s">
        <v>65</v>
      </c>
      <c r="E33" s="14">
        <v>414575527</v>
      </c>
      <c r="F33" s="14">
        <v>50050430</v>
      </c>
      <c r="G33" s="14">
        <v>272155080</v>
      </c>
      <c r="H33" s="14">
        <v>0</v>
      </c>
      <c r="I33" s="14">
        <v>92370017</v>
      </c>
      <c r="M33" s="30">
        <v>1040791500</v>
      </c>
    </row>
    <row r="34" spans="1:13" ht="16.2" customHeight="1" x14ac:dyDescent="0.25">
      <c r="A34" s="31"/>
      <c r="B34" s="31" t="s">
        <v>66</v>
      </c>
      <c r="C34" s="31">
        <v>29</v>
      </c>
      <c r="D34" s="32" t="s">
        <v>67</v>
      </c>
      <c r="E34" s="20">
        <v>265350765</v>
      </c>
      <c r="F34" s="28">
        <v>0</v>
      </c>
      <c r="G34" s="28">
        <v>265350765</v>
      </c>
      <c r="H34" s="28">
        <v>0</v>
      </c>
      <c r="I34" s="28">
        <v>0</v>
      </c>
      <c r="L34" s="21"/>
      <c r="M34" s="29">
        <v>1000000</v>
      </c>
    </row>
    <row r="35" spans="1:13" ht="16.2" customHeight="1" x14ac:dyDescent="0.25">
      <c r="A35" s="31"/>
      <c r="B35" s="31" t="s">
        <v>68</v>
      </c>
      <c r="C35" s="31">
        <v>30</v>
      </c>
      <c r="D35" s="32" t="s">
        <v>69</v>
      </c>
      <c r="E35" s="20">
        <v>92364800</v>
      </c>
      <c r="F35" s="28">
        <v>0</v>
      </c>
      <c r="G35" s="28">
        <v>0</v>
      </c>
      <c r="H35" s="28">
        <v>0</v>
      </c>
      <c r="I35" s="28">
        <v>92364800</v>
      </c>
      <c r="L35" s="21"/>
      <c r="M35" s="29">
        <v>5439231749</v>
      </c>
    </row>
    <row r="36" spans="1:13" ht="16.2" customHeight="1" x14ac:dyDescent="0.25">
      <c r="A36" s="31"/>
      <c r="B36" s="31" t="s">
        <v>70</v>
      </c>
      <c r="C36" s="31">
        <v>31</v>
      </c>
      <c r="D36" s="32" t="s">
        <v>71</v>
      </c>
      <c r="E36" s="22">
        <v>56859962</v>
      </c>
      <c r="F36" s="28">
        <v>50050430</v>
      </c>
      <c r="G36" s="28">
        <v>6804315</v>
      </c>
      <c r="H36" s="28">
        <v>0</v>
      </c>
      <c r="I36" s="33">
        <v>5217</v>
      </c>
      <c r="M36" s="29">
        <f>+M30-M31-M32-M33-M34-M35</f>
        <v>-1008568662</v>
      </c>
    </row>
    <row r="37" spans="1:13" ht="16.2" customHeight="1" x14ac:dyDescent="0.25">
      <c r="A37" s="6" t="s">
        <v>72</v>
      </c>
      <c r="B37" s="6"/>
      <c r="C37" s="6">
        <v>32</v>
      </c>
      <c r="D37" s="7" t="s">
        <v>73</v>
      </c>
      <c r="E37" s="8">
        <v>4768144152</v>
      </c>
      <c r="F37" s="8">
        <v>-990277292</v>
      </c>
      <c r="G37" s="8">
        <v>3686282249</v>
      </c>
      <c r="H37" s="8">
        <v>-1552691381</v>
      </c>
      <c r="I37" s="8">
        <v>3624830576</v>
      </c>
    </row>
    <row r="38" spans="1:13" ht="16.2" customHeight="1" x14ac:dyDescent="0.25">
      <c r="A38" s="9" t="s">
        <v>15</v>
      </c>
      <c r="B38" s="9"/>
      <c r="C38" s="9">
        <v>33</v>
      </c>
      <c r="D38" s="10" t="s">
        <v>74</v>
      </c>
      <c r="E38" s="11">
        <v>10913951895</v>
      </c>
      <c r="F38" s="11">
        <v>610440000</v>
      </c>
      <c r="G38" s="11">
        <v>3691413805</v>
      </c>
      <c r="H38" s="11">
        <v>647928753</v>
      </c>
      <c r="I38" s="11">
        <v>5964169337</v>
      </c>
    </row>
    <row r="39" spans="1:13" s="15" customFormat="1" ht="16.2" customHeight="1" x14ac:dyDescent="0.25">
      <c r="A39" s="12">
        <v>1</v>
      </c>
      <c r="B39" s="12"/>
      <c r="C39" s="12">
        <v>34</v>
      </c>
      <c r="D39" s="13" t="s">
        <v>75</v>
      </c>
      <c r="E39" s="14">
        <v>10353951895</v>
      </c>
      <c r="F39" s="14">
        <v>100440000</v>
      </c>
      <c r="G39" s="14">
        <v>3641413805</v>
      </c>
      <c r="H39" s="14">
        <v>647928753</v>
      </c>
      <c r="I39" s="14">
        <v>5964169337</v>
      </c>
    </row>
    <row r="40" spans="1:13" ht="16.2" customHeight="1" x14ac:dyDescent="0.25">
      <c r="A40" s="31"/>
      <c r="B40" s="31" t="s">
        <v>76</v>
      </c>
      <c r="C40" s="31">
        <v>35</v>
      </c>
      <c r="D40" s="32" t="s">
        <v>77</v>
      </c>
      <c r="E40" s="20">
        <v>10353951895</v>
      </c>
      <c r="F40" s="19">
        <v>100440000</v>
      </c>
      <c r="G40" s="19">
        <v>3641413805</v>
      </c>
      <c r="H40" s="19">
        <v>647928753</v>
      </c>
      <c r="I40" s="19">
        <v>5964169337</v>
      </c>
    </row>
    <row r="41" spans="1:13" ht="16.2" customHeight="1" x14ac:dyDescent="0.25">
      <c r="A41" s="31"/>
      <c r="B41" s="31" t="s">
        <v>78</v>
      </c>
      <c r="C41" s="31">
        <v>36</v>
      </c>
      <c r="D41" s="32" t="s">
        <v>79</v>
      </c>
      <c r="E41" s="20">
        <v>0</v>
      </c>
      <c r="F41" s="19">
        <v>0</v>
      </c>
      <c r="G41" s="19">
        <v>0</v>
      </c>
      <c r="H41" s="19">
        <v>0</v>
      </c>
      <c r="I41" s="19">
        <v>0</v>
      </c>
    </row>
    <row r="42" spans="1:13" s="15" customFormat="1" ht="16.2" customHeight="1" x14ac:dyDescent="0.25">
      <c r="A42" s="12">
        <v>2</v>
      </c>
      <c r="B42" s="12"/>
      <c r="C42" s="12">
        <v>37</v>
      </c>
      <c r="D42" s="13" t="s">
        <v>80</v>
      </c>
      <c r="E42" s="14">
        <v>560000000</v>
      </c>
      <c r="F42" s="14">
        <v>510000000</v>
      </c>
      <c r="G42" s="14">
        <v>50000000</v>
      </c>
      <c r="H42" s="14">
        <v>0</v>
      </c>
      <c r="I42" s="14">
        <v>0</v>
      </c>
    </row>
    <row r="43" spans="1:13" ht="16.2" customHeight="1" x14ac:dyDescent="0.25">
      <c r="A43" s="31"/>
      <c r="B43" s="31" t="s">
        <v>81</v>
      </c>
      <c r="C43" s="31">
        <v>38</v>
      </c>
      <c r="D43" s="32" t="s">
        <v>82</v>
      </c>
      <c r="E43" s="20">
        <v>0</v>
      </c>
      <c r="F43" s="19">
        <v>0</v>
      </c>
      <c r="G43" s="19">
        <v>0</v>
      </c>
      <c r="H43" s="19">
        <v>0</v>
      </c>
      <c r="I43" s="19">
        <v>0</v>
      </c>
    </row>
    <row r="44" spans="1:13" ht="16.2" customHeight="1" x14ac:dyDescent="0.25">
      <c r="A44" s="31"/>
      <c r="B44" s="31" t="s">
        <v>83</v>
      </c>
      <c r="C44" s="31">
        <v>39</v>
      </c>
      <c r="D44" s="32" t="s">
        <v>84</v>
      </c>
      <c r="E44" s="18">
        <v>560000000</v>
      </c>
      <c r="F44" s="19">
        <v>510000000</v>
      </c>
      <c r="G44" s="19">
        <v>50000000</v>
      </c>
      <c r="H44" s="34">
        <v>0</v>
      </c>
      <c r="I44" s="19">
        <v>0</v>
      </c>
    </row>
    <row r="45" spans="1:13" s="15" customFormat="1" ht="16.2" customHeight="1" x14ac:dyDescent="0.25">
      <c r="A45" s="12">
        <v>3</v>
      </c>
      <c r="B45" s="12" t="s">
        <v>85</v>
      </c>
      <c r="C45" s="12">
        <v>40</v>
      </c>
      <c r="D45" s="13" t="s">
        <v>86</v>
      </c>
      <c r="E45" s="20">
        <v>0</v>
      </c>
      <c r="F45" s="19">
        <v>0</v>
      </c>
      <c r="G45" s="19">
        <v>0</v>
      </c>
      <c r="H45" s="19">
        <v>0</v>
      </c>
      <c r="I45" s="19">
        <v>0</v>
      </c>
    </row>
    <row r="46" spans="1:13" ht="16.2" customHeight="1" x14ac:dyDescent="0.25">
      <c r="A46" s="9" t="s">
        <v>40</v>
      </c>
      <c r="B46" s="9"/>
      <c r="C46" s="9">
        <v>41</v>
      </c>
      <c r="D46" s="10" t="s">
        <v>87</v>
      </c>
      <c r="E46" s="11">
        <v>6145807743</v>
      </c>
      <c r="F46" s="11">
        <v>1600717292</v>
      </c>
      <c r="G46" s="11">
        <v>5131556</v>
      </c>
      <c r="H46" s="11">
        <v>2200620134</v>
      </c>
      <c r="I46" s="11">
        <v>2339338761</v>
      </c>
    </row>
    <row r="47" spans="1:13" s="15" customFormat="1" ht="16.2" customHeight="1" x14ac:dyDescent="0.25">
      <c r="A47" s="12">
        <v>1</v>
      </c>
      <c r="B47" s="12"/>
      <c r="C47" s="12">
        <v>42</v>
      </c>
      <c r="D47" s="13" t="s">
        <v>88</v>
      </c>
      <c r="E47" s="14">
        <v>145807743</v>
      </c>
      <c r="F47" s="14">
        <v>717292</v>
      </c>
      <c r="G47" s="14">
        <v>5131556</v>
      </c>
      <c r="H47" s="14">
        <v>620134</v>
      </c>
      <c r="I47" s="14">
        <v>139338761</v>
      </c>
    </row>
    <row r="48" spans="1:13" ht="16.2" customHeight="1" x14ac:dyDescent="0.25">
      <c r="A48" s="35" t="s">
        <v>89</v>
      </c>
      <c r="B48" s="31" t="s">
        <v>76</v>
      </c>
      <c r="C48" s="31">
        <v>43</v>
      </c>
      <c r="D48" s="32" t="s">
        <v>77</v>
      </c>
      <c r="E48" s="20">
        <v>0</v>
      </c>
      <c r="F48" s="28">
        <v>0</v>
      </c>
      <c r="G48" s="28">
        <v>0</v>
      </c>
      <c r="H48" s="28">
        <v>0</v>
      </c>
      <c r="I48" s="28">
        <v>0</v>
      </c>
    </row>
    <row r="49" spans="1:18" ht="16.2" customHeight="1" x14ac:dyDescent="0.25">
      <c r="A49" s="31" t="s">
        <v>90</v>
      </c>
      <c r="B49" s="31" t="s">
        <v>78</v>
      </c>
      <c r="C49" s="31">
        <v>44</v>
      </c>
      <c r="D49" s="32" t="s">
        <v>79</v>
      </c>
      <c r="E49" s="20">
        <v>0</v>
      </c>
      <c r="F49" s="28">
        <v>0</v>
      </c>
      <c r="G49" s="28">
        <v>0</v>
      </c>
      <c r="H49" s="28">
        <v>0</v>
      </c>
      <c r="I49" s="28">
        <v>0</v>
      </c>
    </row>
    <row r="50" spans="1:18" ht="16.2" customHeight="1" x14ac:dyDescent="0.25">
      <c r="A50" s="35" t="s">
        <v>91</v>
      </c>
      <c r="B50" s="31" t="s">
        <v>92</v>
      </c>
      <c r="C50" s="31">
        <v>45</v>
      </c>
      <c r="D50" s="32" t="s">
        <v>93</v>
      </c>
      <c r="E50" s="20">
        <v>0</v>
      </c>
      <c r="F50" s="28">
        <v>0</v>
      </c>
      <c r="G50" s="28">
        <v>0</v>
      </c>
      <c r="H50" s="28">
        <v>0</v>
      </c>
      <c r="I50" s="28">
        <v>0</v>
      </c>
    </row>
    <row r="51" spans="1:18" ht="16.2" customHeight="1" x14ac:dyDescent="0.25">
      <c r="A51" s="31" t="s">
        <v>94</v>
      </c>
      <c r="B51" s="31" t="s">
        <v>95</v>
      </c>
      <c r="C51" s="31">
        <v>46</v>
      </c>
      <c r="D51" s="32" t="s">
        <v>96</v>
      </c>
      <c r="E51" s="20">
        <v>145807743</v>
      </c>
      <c r="F51" s="28">
        <v>717292</v>
      </c>
      <c r="G51" s="28">
        <v>5131556</v>
      </c>
      <c r="H51" s="28">
        <v>620134</v>
      </c>
      <c r="I51" s="28">
        <v>139338761</v>
      </c>
    </row>
    <row r="52" spans="1:18" ht="16.2" customHeight="1" x14ac:dyDescent="0.25">
      <c r="A52" s="31"/>
      <c r="B52" s="31" t="s">
        <v>97</v>
      </c>
      <c r="C52" s="31">
        <v>47</v>
      </c>
      <c r="D52" s="32" t="s">
        <v>98</v>
      </c>
      <c r="E52" s="20">
        <v>0</v>
      </c>
      <c r="F52" s="28">
        <v>0</v>
      </c>
      <c r="G52" s="28">
        <v>0</v>
      </c>
      <c r="H52" s="28">
        <v>0</v>
      </c>
      <c r="I52" s="28">
        <v>0</v>
      </c>
    </row>
    <row r="53" spans="1:18" s="15" customFormat="1" ht="16.2" customHeight="1" x14ac:dyDescent="0.3">
      <c r="A53" s="12">
        <v>2</v>
      </c>
      <c r="B53" s="12"/>
      <c r="C53" s="12">
        <v>48</v>
      </c>
      <c r="D53" s="13" t="s">
        <v>99</v>
      </c>
      <c r="E53" s="14">
        <v>6000000000</v>
      </c>
      <c r="F53" s="14">
        <v>1600000000</v>
      </c>
      <c r="G53" s="14">
        <v>0</v>
      </c>
      <c r="H53" s="14">
        <v>2200000000</v>
      </c>
      <c r="I53" s="14">
        <v>2200000000</v>
      </c>
      <c r="O53" t="s">
        <v>147</v>
      </c>
      <c r="P53" t="str">
        <f>_xlfn.TEXTBEFORE(O53, ":")</f>
        <v xml:space="preserve">CFFO1-05 </v>
      </c>
      <c r="Q53" t="str">
        <f>_xlfn.TEXTAFTER(O53, ":")</f>
        <v xml:space="preserve"> Trả lãi vay ngân hàng ngắn hạn</v>
      </c>
      <c r="R53" s="65">
        <v>136371605</v>
      </c>
    </row>
    <row r="54" spans="1:18" ht="16.2" customHeight="1" x14ac:dyDescent="0.3">
      <c r="A54" s="31" t="s">
        <v>100</v>
      </c>
      <c r="B54" s="31" t="s">
        <v>81</v>
      </c>
      <c r="C54" s="31">
        <v>49</v>
      </c>
      <c r="D54" s="32" t="s">
        <v>82</v>
      </c>
      <c r="E54" s="20">
        <v>0</v>
      </c>
      <c r="F54" s="28">
        <v>0</v>
      </c>
      <c r="G54" s="28">
        <v>0</v>
      </c>
      <c r="H54" s="28">
        <v>0</v>
      </c>
      <c r="I54" s="36">
        <v>0</v>
      </c>
      <c r="M54" s="23"/>
      <c r="O54" t="s">
        <v>148</v>
      </c>
      <c r="P54" t="str">
        <f>_xlfn.TEXTBEFORE(O54, ":")</f>
        <v xml:space="preserve">CFFO2-01 </v>
      </c>
      <c r="Q54" t="str">
        <f>_xlfn.TEXTAFTER(O54, ":")</f>
        <v xml:space="preserve"> Trả nợ vay công ty ngắn hạn</v>
      </c>
      <c r="R54" s="65">
        <v>6000000000</v>
      </c>
    </row>
    <row r="55" spans="1:18" ht="16.2" customHeight="1" x14ac:dyDescent="0.25">
      <c r="A55" s="31" t="s">
        <v>101</v>
      </c>
      <c r="B55" s="31" t="s">
        <v>83</v>
      </c>
      <c r="C55" s="31">
        <v>50</v>
      </c>
      <c r="D55" s="32" t="s">
        <v>84</v>
      </c>
      <c r="E55" s="18">
        <v>6000000000</v>
      </c>
      <c r="F55" s="28">
        <v>1600000000</v>
      </c>
      <c r="G55" s="28">
        <v>0</v>
      </c>
      <c r="H55" s="28">
        <v>2200000000</v>
      </c>
      <c r="I55" s="36">
        <v>2200000000</v>
      </c>
      <c r="M55" s="23"/>
      <c r="N55" s="15"/>
    </row>
    <row r="56" spans="1:18" s="15" customFormat="1" ht="16.2" customHeight="1" x14ac:dyDescent="0.25">
      <c r="A56" s="12">
        <v>3</v>
      </c>
      <c r="B56" s="12"/>
      <c r="C56" s="12">
        <v>51</v>
      </c>
      <c r="D56" s="13" t="s">
        <v>102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M56" s="37"/>
    </row>
    <row r="57" spans="1:18" ht="16.2" customHeight="1" x14ac:dyDescent="0.25">
      <c r="A57" s="31"/>
      <c r="B57" s="31" t="s">
        <v>103</v>
      </c>
      <c r="C57" s="31">
        <v>52</v>
      </c>
      <c r="D57" s="32" t="s">
        <v>104</v>
      </c>
      <c r="E57" s="20">
        <v>0</v>
      </c>
      <c r="F57" s="28">
        <v>0</v>
      </c>
      <c r="G57" s="28">
        <v>0</v>
      </c>
      <c r="H57" s="28">
        <v>0</v>
      </c>
      <c r="I57" s="28">
        <v>0</v>
      </c>
      <c r="M57" s="23"/>
    </row>
    <row r="58" spans="1:18" ht="16.2" customHeight="1" x14ac:dyDescent="0.25">
      <c r="A58" s="31"/>
      <c r="B58" s="31" t="s">
        <v>105</v>
      </c>
      <c r="C58" s="31">
        <v>53</v>
      </c>
      <c r="D58" s="32" t="s">
        <v>106</v>
      </c>
      <c r="E58" s="20">
        <v>0</v>
      </c>
      <c r="F58" s="28">
        <v>0</v>
      </c>
      <c r="G58" s="28">
        <v>0</v>
      </c>
      <c r="H58" s="28">
        <v>0</v>
      </c>
      <c r="I58" s="28">
        <v>0</v>
      </c>
      <c r="M58" s="23"/>
      <c r="N58" s="15"/>
      <c r="O58" s="21"/>
    </row>
    <row r="59" spans="1:18" ht="16.2" customHeight="1" x14ac:dyDescent="0.25">
      <c r="A59" s="6" t="s">
        <v>107</v>
      </c>
      <c r="B59" s="6"/>
      <c r="C59" s="6">
        <v>54</v>
      </c>
      <c r="D59" s="7" t="s">
        <v>108</v>
      </c>
      <c r="E59" s="38">
        <v>0</v>
      </c>
      <c r="F59" s="38">
        <v>0</v>
      </c>
      <c r="G59" s="38">
        <v>0</v>
      </c>
      <c r="H59" s="38">
        <v>0</v>
      </c>
      <c r="I59" s="38">
        <v>0</v>
      </c>
    </row>
    <row r="60" spans="1:18" ht="16.2" customHeight="1" x14ac:dyDescent="0.25">
      <c r="A60" s="39">
        <v>1</v>
      </c>
      <c r="B60" s="39" t="s">
        <v>109</v>
      </c>
      <c r="C60" s="39">
        <v>55</v>
      </c>
      <c r="D60" s="32" t="s">
        <v>110</v>
      </c>
      <c r="E60" s="20">
        <v>0</v>
      </c>
      <c r="F60" s="28">
        <v>0</v>
      </c>
      <c r="G60" s="28">
        <v>0</v>
      </c>
      <c r="H60" s="28">
        <v>0</v>
      </c>
      <c r="I60" s="36">
        <v>0</v>
      </c>
      <c r="J60" s="40"/>
      <c r="K60" s="40"/>
      <c r="L60" s="40"/>
      <c r="M60" s="40"/>
    </row>
    <row r="61" spans="1:18" ht="16.2" customHeight="1" x14ac:dyDescent="0.25">
      <c r="A61" s="39">
        <v>2</v>
      </c>
      <c r="B61" s="39" t="s">
        <v>111</v>
      </c>
      <c r="C61" s="39">
        <v>56</v>
      </c>
      <c r="D61" s="32" t="s">
        <v>112</v>
      </c>
      <c r="E61" s="20">
        <v>0</v>
      </c>
      <c r="F61" s="28">
        <v>0</v>
      </c>
      <c r="G61" s="28">
        <v>0</v>
      </c>
      <c r="H61" s="28">
        <v>0</v>
      </c>
      <c r="I61" s="36">
        <v>0</v>
      </c>
      <c r="J61" s="40"/>
      <c r="K61" s="40"/>
      <c r="L61" s="40"/>
      <c r="M61" s="40"/>
      <c r="N61" s="23"/>
    </row>
    <row r="62" spans="1:18" ht="16.2" customHeight="1" x14ac:dyDescent="0.25">
      <c r="A62" s="39">
        <v>3</v>
      </c>
      <c r="B62" s="39" t="s">
        <v>113</v>
      </c>
      <c r="C62" s="39">
        <v>57</v>
      </c>
      <c r="D62" s="32" t="s">
        <v>114</v>
      </c>
      <c r="E62" s="20">
        <v>0</v>
      </c>
      <c r="F62" s="28">
        <v>0</v>
      </c>
      <c r="G62" s="28">
        <v>0</v>
      </c>
      <c r="H62" s="28">
        <v>0</v>
      </c>
      <c r="I62" s="36">
        <v>0</v>
      </c>
      <c r="J62" s="40"/>
      <c r="K62" s="40"/>
      <c r="L62" s="40"/>
      <c r="M62" s="40"/>
    </row>
    <row r="63" spans="1:18" ht="16.2" customHeight="1" x14ac:dyDescent="0.25">
      <c r="A63" s="6" t="s">
        <v>115</v>
      </c>
      <c r="B63" s="6"/>
      <c r="C63" s="6">
        <v>58</v>
      </c>
      <c r="D63" s="7" t="s">
        <v>116</v>
      </c>
      <c r="E63" s="8">
        <v>-144363611</v>
      </c>
      <c r="F63" s="8">
        <v>-140633671</v>
      </c>
      <c r="G63" s="8">
        <v>13329980</v>
      </c>
      <c r="H63" s="8">
        <v>889813606</v>
      </c>
      <c r="I63" s="8">
        <v>-906873526</v>
      </c>
      <c r="J63" s="40"/>
      <c r="K63" s="40"/>
      <c r="L63" s="40"/>
      <c r="M63" s="40"/>
    </row>
    <row r="64" spans="1:18" ht="16.2" customHeight="1" x14ac:dyDescent="0.25">
      <c r="A64" s="41" t="s">
        <v>117</v>
      </c>
      <c r="B64" s="41" t="s">
        <v>118</v>
      </c>
      <c r="C64" s="41">
        <v>59</v>
      </c>
      <c r="D64" s="42" t="s">
        <v>119</v>
      </c>
      <c r="E64" s="43">
        <v>278345080</v>
      </c>
      <c r="F64" s="43">
        <v>278345080</v>
      </c>
      <c r="G64" s="44">
        <v>137711409</v>
      </c>
      <c r="H64" s="44">
        <v>151041389</v>
      </c>
      <c r="I64" s="44">
        <v>1040854995</v>
      </c>
      <c r="J64" s="40"/>
      <c r="K64" s="40"/>
      <c r="L64" s="40"/>
      <c r="M64" s="40"/>
      <c r="N64" s="40"/>
      <c r="O64" s="40"/>
    </row>
    <row r="65" spans="1:18" ht="16.2" customHeight="1" x14ac:dyDescent="0.25">
      <c r="A65" s="45" t="s">
        <v>120</v>
      </c>
      <c r="B65" s="45"/>
      <c r="C65" s="45">
        <v>60</v>
      </c>
      <c r="D65" s="46" t="s">
        <v>121</v>
      </c>
      <c r="E65" s="47">
        <v>133981469</v>
      </c>
      <c r="F65" s="43">
        <v>137711409</v>
      </c>
      <c r="G65" s="43">
        <v>151041389</v>
      </c>
      <c r="H65" s="48">
        <v>1040854995</v>
      </c>
      <c r="I65" s="43">
        <v>133981469</v>
      </c>
      <c r="J65" s="49"/>
      <c r="K65" s="49"/>
      <c r="L65" s="40">
        <v>137711409</v>
      </c>
      <c r="M65" s="40">
        <v>151041389</v>
      </c>
      <c r="N65" s="40">
        <v>1040854995</v>
      </c>
      <c r="O65" s="40">
        <v>133981469</v>
      </c>
    </row>
    <row r="66" spans="1:18" ht="16.2" customHeight="1" x14ac:dyDescent="0.25">
      <c r="A66" s="6"/>
      <c r="B66" s="6"/>
      <c r="C66" s="6">
        <v>61</v>
      </c>
      <c r="D66" s="7" t="s">
        <v>122</v>
      </c>
      <c r="E66" s="8">
        <v>133981469</v>
      </c>
      <c r="F66" s="8">
        <v>137711409</v>
      </c>
      <c r="G66" s="8">
        <v>151041389</v>
      </c>
      <c r="H66" s="8">
        <v>1040854995</v>
      </c>
      <c r="I66" s="8">
        <v>133981469</v>
      </c>
      <c r="J66" s="40"/>
      <c r="K66" s="40"/>
      <c r="L66" s="40">
        <f>+L65-F65</f>
        <v>0</v>
      </c>
      <c r="M66" s="40">
        <f>+M65-G65</f>
        <v>0</v>
      </c>
      <c r="N66" s="40">
        <f>+N65-H65</f>
        <v>0</v>
      </c>
      <c r="O66" s="40">
        <f>+O65-I65</f>
        <v>0</v>
      </c>
    </row>
    <row r="67" spans="1:18" ht="16.2" customHeight="1" x14ac:dyDescent="0.25">
      <c r="A67" s="50"/>
      <c r="B67" s="51"/>
      <c r="C67" s="51"/>
      <c r="D67" s="51"/>
      <c r="E67" s="52"/>
      <c r="J67" s="49"/>
      <c r="K67" s="49"/>
      <c r="L67" s="40"/>
      <c r="M67" s="40"/>
    </row>
    <row r="68" spans="1:18" ht="16.2" customHeight="1" x14ac:dyDescent="0.25">
      <c r="A68" s="6" t="s">
        <v>123</v>
      </c>
      <c r="B68" s="6"/>
      <c r="C68" s="6"/>
      <c r="D68" s="7" t="s">
        <v>124</v>
      </c>
      <c r="E68" s="8">
        <v>29789741202</v>
      </c>
      <c r="F68" s="8">
        <v>29789741202</v>
      </c>
      <c r="G68" s="8">
        <v>28800181202</v>
      </c>
      <c r="H68" s="8">
        <v>32491595007</v>
      </c>
      <c r="I68" s="8">
        <v>30939523760</v>
      </c>
      <c r="J68" s="49"/>
      <c r="K68" s="49"/>
      <c r="L68" s="40"/>
      <c r="M68" s="40"/>
    </row>
    <row r="69" spans="1:18" ht="16.2" customHeight="1" x14ac:dyDescent="0.25">
      <c r="A69" s="41" t="s">
        <v>15</v>
      </c>
      <c r="B69" s="41"/>
      <c r="C69" s="41"/>
      <c r="D69" s="42" t="s">
        <v>125</v>
      </c>
      <c r="E69" s="53"/>
      <c r="F69" s="19">
        <v>0</v>
      </c>
      <c r="G69" s="19">
        <v>0</v>
      </c>
      <c r="H69" s="19">
        <v>0</v>
      </c>
      <c r="I69" s="19">
        <v>0</v>
      </c>
      <c r="J69" s="49"/>
      <c r="K69" s="49"/>
      <c r="L69" s="40"/>
      <c r="M69" s="40"/>
    </row>
    <row r="70" spans="1:18" ht="16.2" customHeight="1" x14ac:dyDescent="0.25">
      <c r="A70" s="41" t="s">
        <v>40</v>
      </c>
      <c r="B70" s="41"/>
      <c r="C70" s="41"/>
      <c r="D70" s="42" t="s">
        <v>126</v>
      </c>
      <c r="E70" s="44">
        <v>23005767256</v>
      </c>
      <c r="F70" s="44">
        <v>23005767256</v>
      </c>
      <c r="G70" s="44">
        <v>23106207256</v>
      </c>
      <c r="H70" s="44">
        <v>26747621061</v>
      </c>
      <c r="I70" s="44">
        <v>27395549814</v>
      </c>
      <c r="J70" s="49"/>
      <c r="K70" s="49"/>
      <c r="L70" s="40"/>
      <c r="M70" s="40"/>
    </row>
    <row r="71" spans="1:18" ht="16.2" customHeight="1" x14ac:dyDescent="0.25">
      <c r="A71" s="54">
        <v>1</v>
      </c>
      <c r="B71" s="54"/>
      <c r="C71" s="54"/>
      <c r="D71" s="55" t="s">
        <v>127</v>
      </c>
      <c r="E71" s="56">
        <v>23005767256</v>
      </c>
      <c r="F71" s="57">
        <v>23005767256</v>
      </c>
      <c r="G71" s="19">
        <v>23106207256</v>
      </c>
      <c r="H71" s="19">
        <v>26747621061</v>
      </c>
      <c r="I71" s="19">
        <v>27395549814</v>
      </c>
      <c r="J71" s="49"/>
      <c r="K71" s="49"/>
      <c r="L71" s="40"/>
      <c r="M71" s="40"/>
    </row>
    <row r="72" spans="1:18" ht="16.2" customHeight="1" x14ac:dyDescent="0.25">
      <c r="A72" s="54">
        <v>2</v>
      </c>
      <c r="B72" s="54"/>
      <c r="C72" s="54"/>
      <c r="D72" s="55" t="s">
        <v>128</v>
      </c>
      <c r="E72" s="56">
        <v>0</v>
      </c>
      <c r="F72" s="19">
        <v>0</v>
      </c>
      <c r="G72" s="19">
        <v>0</v>
      </c>
      <c r="H72" s="19">
        <v>0</v>
      </c>
      <c r="I72" s="19">
        <v>0</v>
      </c>
      <c r="J72" s="49"/>
      <c r="K72" s="49"/>
      <c r="L72" s="49"/>
      <c r="M72" s="40"/>
    </row>
    <row r="73" spans="1:18" ht="16.2" customHeight="1" x14ac:dyDescent="0.25">
      <c r="A73" s="41" t="s">
        <v>129</v>
      </c>
      <c r="B73" s="41"/>
      <c r="C73" s="41"/>
      <c r="D73" s="42" t="s">
        <v>130</v>
      </c>
      <c r="E73" s="53">
        <v>6783973946</v>
      </c>
      <c r="F73" s="44">
        <v>6783973946</v>
      </c>
      <c r="G73" s="44">
        <v>5693973946</v>
      </c>
      <c r="H73" s="44">
        <v>5743973946</v>
      </c>
      <c r="I73" s="44">
        <v>3543973946</v>
      </c>
      <c r="J73" s="49"/>
      <c r="K73" s="49"/>
      <c r="L73" s="58"/>
      <c r="M73" s="40"/>
    </row>
    <row r="74" spans="1:18" ht="16.2" customHeight="1" x14ac:dyDescent="0.25">
      <c r="A74" s="54">
        <v>1</v>
      </c>
      <c r="B74" s="54"/>
      <c r="C74" s="54"/>
      <c r="D74" s="55" t="s">
        <v>127</v>
      </c>
      <c r="E74" s="56">
        <v>6783973946</v>
      </c>
      <c r="F74" s="19">
        <v>6783973946</v>
      </c>
      <c r="G74" s="19">
        <v>5693973946</v>
      </c>
      <c r="H74" s="19">
        <v>5743973946</v>
      </c>
      <c r="I74" s="19">
        <v>3543973946</v>
      </c>
      <c r="J74" s="40"/>
      <c r="K74" s="40"/>
      <c r="L74" s="40"/>
      <c r="M74" s="40"/>
      <c r="N74" s="40"/>
      <c r="O74" s="40"/>
      <c r="P74" s="40"/>
      <c r="Q74" s="40"/>
      <c r="R74" s="40"/>
    </row>
    <row r="75" spans="1:18" ht="16.2" customHeight="1" x14ac:dyDescent="0.25">
      <c r="A75" s="54">
        <v>2</v>
      </c>
      <c r="B75" s="54"/>
      <c r="C75" s="54"/>
      <c r="D75" s="55" t="s">
        <v>128</v>
      </c>
      <c r="E75" s="56">
        <v>0</v>
      </c>
      <c r="F75" s="19">
        <v>0</v>
      </c>
      <c r="G75" s="19">
        <v>0</v>
      </c>
      <c r="H75" s="19">
        <v>0</v>
      </c>
      <c r="I75" s="19">
        <v>0</v>
      </c>
      <c r="J75" s="40"/>
      <c r="K75" s="40"/>
      <c r="L75" s="40"/>
      <c r="M75" s="40"/>
      <c r="N75" s="40"/>
      <c r="O75" s="40"/>
      <c r="P75" s="40"/>
      <c r="Q75" s="40"/>
      <c r="R75" s="40"/>
    </row>
    <row r="76" spans="1:18" ht="16.2" customHeight="1" x14ac:dyDescent="0.25">
      <c r="A76" s="6" t="s">
        <v>131</v>
      </c>
      <c r="B76" s="6"/>
      <c r="C76" s="6"/>
      <c r="D76" s="7" t="s">
        <v>132</v>
      </c>
      <c r="E76" s="8">
        <v>34703693097</v>
      </c>
      <c r="F76" s="8">
        <v>28800181202</v>
      </c>
      <c r="G76" s="8">
        <v>32491595007</v>
      </c>
      <c r="H76" s="8">
        <v>30939523760</v>
      </c>
      <c r="I76" s="8">
        <v>34703693097</v>
      </c>
      <c r="L76" s="40"/>
      <c r="M76" s="40"/>
      <c r="N76" s="40"/>
      <c r="O76" s="40"/>
      <c r="P76" s="40"/>
      <c r="Q76" s="40"/>
      <c r="R76" s="40"/>
    </row>
    <row r="77" spans="1:18" ht="16.2" customHeight="1" x14ac:dyDescent="0.25">
      <c r="A77" s="41" t="s">
        <v>15</v>
      </c>
      <c r="B77" s="41"/>
      <c r="C77" s="41"/>
      <c r="D77" s="42" t="s">
        <v>125</v>
      </c>
      <c r="E77" s="53"/>
      <c r="F77" s="19"/>
      <c r="G77" s="19"/>
      <c r="H77" s="19"/>
      <c r="I77" s="19"/>
      <c r="L77" s="40"/>
      <c r="M77" s="40"/>
      <c r="N77" s="40"/>
      <c r="O77" s="40"/>
      <c r="P77" s="40"/>
      <c r="Q77" s="40"/>
      <c r="R77" s="40"/>
    </row>
    <row r="78" spans="1:18" ht="16.2" customHeight="1" x14ac:dyDescent="0.25">
      <c r="A78" s="41" t="s">
        <v>40</v>
      </c>
      <c r="B78" s="41"/>
      <c r="C78" s="41"/>
      <c r="D78" s="42" t="s">
        <v>126</v>
      </c>
      <c r="E78" s="53">
        <v>33359719151</v>
      </c>
      <c r="F78" s="44">
        <v>23106207256</v>
      </c>
      <c r="G78" s="44">
        <v>26747621061</v>
      </c>
      <c r="H78" s="44">
        <v>27395549814</v>
      </c>
      <c r="I78" s="44">
        <v>33359719151</v>
      </c>
      <c r="L78" s="40"/>
      <c r="M78" s="40"/>
      <c r="N78" s="40"/>
      <c r="O78" s="40"/>
      <c r="P78" s="40"/>
      <c r="Q78" s="40"/>
      <c r="R78" s="40"/>
    </row>
    <row r="79" spans="1:18" ht="16.2" customHeight="1" x14ac:dyDescent="0.25">
      <c r="A79" s="54">
        <v>1</v>
      </c>
      <c r="B79" s="54"/>
      <c r="C79" s="54"/>
      <c r="D79" s="55" t="s">
        <v>127</v>
      </c>
      <c r="E79" s="56">
        <v>33359719151</v>
      </c>
      <c r="F79" s="19">
        <v>23106207256</v>
      </c>
      <c r="G79" s="19">
        <v>26747621061</v>
      </c>
      <c r="H79" s="19">
        <v>27395549814</v>
      </c>
      <c r="I79" s="19">
        <v>33359719151</v>
      </c>
      <c r="L79" s="40"/>
      <c r="M79" s="40"/>
      <c r="N79" s="40"/>
      <c r="O79" s="40"/>
      <c r="P79" s="40"/>
      <c r="Q79" s="40"/>
      <c r="R79" s="40"/>
    </row>
    <row r="80" spans="1:18" ht="16.2" customHeight="1" x14ac:dyDescent="0.25">
      <c r="A80" s="54">
        <v>2</v>
      </c>
      <c r="B80" s="54"/>
      <c r="C80" s="54"/>
      <c r="D80" s="55" t="s">
        <v>128</v>
      </c>
      <c r="E80" s="56">
        <v>0</v>
      </c>
      <c r="F80" s="19">
        <v>0</v>
      </c>
      <c r="G80" s="19">
        <v>0</v>
      </c>
      <c r="H80" s="19">
        <v>0</v>
      </c>
      <c r="I80" s="19">
        <v>0</v>
      </c>
      <c r="L80" s="40"/>
      <c r="M80" s="40"/>
      <c r="N80" s="40"/>
      <c r="O80" s="40"/>
      <c r="P80" s="40"/>
      <c r="Q80" s="40"/>
      <c r="R80" s="40"/>
    </row>
    <row r="81" spans="1:18" ht="16.2" customHeight="1" x14ac:dyDescent="0.25">
      <c r="A81" s="41" t="s">
        <v>129</v>
      </c>
      <c r="B81" s="41"/>
      <c r="C81" s="41"/>
      <c r="D81" s="42" t="s">
        <v>130</v>
      </c>
      <c r="E81" s="53">
        <v>1343973946</v>
      </c>
      <c r="F81" s="44">
        <v>5693973946</v>
      </c>
      <c r="G81" s="44">
        <v>5743973946</v>
      </c>
      <c r="H81" s="44">
        <v>3543973946</v>
      </c>
      <c r="I81" s="44">
        <v>1343973946</v>
      </c>
      <c r="L81" s="40"/>
      <c r="M81" s="40"/>
      <c r="N81" s="40"/>
      <c r="O81" s="40"/>
      <c r="P81" s="40"/>
      <c r="Q81" s="40"/>
      <c r="R81" s="40"/>
    </row>
    <row r="82" spans="1:18" ht="16.2" customHeight="1" x14ac:dyDescent="0.25">
      <c r="A82" s="54">
        <v>1</v>
      </c>
      <c r="B82" s="54"/>
      <c r="C82" s="54"/>
      <c r="D82" s="55" t="s">
        <v>127</v>
      </c>
      <c r="E82" s="56">
        <v>1343973946</v>
      </c>
      <c r="F82" s="19">
        <v>5693973946</v>
      </c>
      <c r="G82" s="19">
        <v>5743973946</v>
      </c>
      <c r="H82" s="19">
        <v>3543973946</v>
      </c>
      <c r="I82" s="19">
        <v>1343973946</v>
      </c>
      <c r="L82" s="40"/>
      <c r="M82" s="40"/>
      <c r="N82" s="40"/>
      <c r="O82" s="40"/>
      <c r="P82" s="40"/>
      <c r="Q82" s="40"/>
      <c r="R82" s="40"/>
    </row>
    <row r="83" spans="1:18" ht="16.2" customHeight="1" x14ac:dyDescent="0.25">
      <c r="A83" s="54">
        <v>2</v>
      </c>
      <c r="B83" s="54"/>
      <c r="C83" s="54"/>
      <c r="D83" s="55" t="s">
        <v>128</v>
      </c>
      <c r="E83" s="56">
        <v>0</v>
      </c>
      <c r="F83" s="19">
        <v>0</v>
      </c>
      <c r="G83" s="19">
        <v>0</v>
      </c>
      <c r="H83" s="19">
        <v>0</v>
      </c>
      <c r="I83" s="19">
        <v>0</v>
      </c>
      <c r="L83" s="40"/>
      <c r="M83" s="40"/>
      <c r="N83" s="40"/>
      <c r="O83" s="40"/>
      <c r="P83" s="40"/>
      <c r="Q83" s="40"/>
      <c r="R83" s="40"/>
    </row>
    <row r="84" spans="1:18" ht="16.2" customHeight="1" x14ac:dyDescent="0.25">
      <c r="A84" s="6"/>
      <c r="B84" s="6"/>
      <c r="C84" s="6"/>
      <c r="D84" s="7" t="s">
        <v>133</v>
      </c>
      <c r="E84" s="8">
        <v>4913951895</v>
      </c>
      <c r="F84" s="8">
        <v>-989560000</v>
      </c>
      <c r="G84" s="8">
        <v>3691413805</v>
      </c>
      <c r="H84" s="8">
        <v>-1552071247</v>
      </c>
      <c r="I84" s="8">
        <v>3764169337</v>
      </c>
    </row>
    <row r="85" spans="1:18" ht="17.399999999999999" customHeight="1" x14ac:dyDescent="0.25">
      <c r="H85" s="74" t="s">
        <v>134</v>
      </c>
      <c r="I85" s="74"/>
    </row>
    <row r="86" spans="1:18" x14ac:dyDescent="0.25">
      <c r="A86" s="75" t="s">
        <v>135</v>
      </c>
      <c r="B86" s="75"/>
      <c r="C86" s="75"/>
      <c r="D86" s="75"/>
      <c r="E86" s="76" t="s">
        <v>136</v>
      </c>
      <c r="F86" s="76"/>
      <c r="G86" s="76"/>
      <c r="H86" s="76" t="s">
        <v>137</v>
      </c>
      <c r="I86" s="76"/>
      <c r="M86" s="62"/>
    </row>
    <row r="87" spans="1:18" x14ac:dyDescent="0.25">
      <c r="A87" s="60"/>
      <c r="B87" s="60"/>
      <c r="C87" s="60"/>
      <c r="D87" s="60"/>
      <c r="E87" s="61"/>
      <c r="F87" s="61"/>
      <c r="G87" s="61"/>
      <c r="H87" s="61"/>
      <c r="I87" s="61"/>
    </row>
    <row r="88" spans="1:18" x14ac:dyDescent="0.25">
      <c r="A88" s="60"/>
      <c r="B88" s="1"/>
      <c r="C88" s="1"/>
      <c r="D88" s="1"/>
      <c r="E88" s="3"/>
      <c r="F88" s="3"/>
      <c r="G88" s="3"/>
      <c r="H88" s="3"/>
      <c r="I88" s="3"/>
    </row>
    <row r="89" spans="1:18" x14ac:dyDescent="0.25">
      <c r="A89" s="60"/>
      <c r="B89" s="1"/>
      <c r="C89" s="1"/>
      <c r="D89" s="1"/>
      <c r="E89" s="3"/>
      <c r="F89" s="3"/>
      <c r="G89" s="3"/>
      <c r="H89" s="3"/>
      <c r="I89" s="3"/>
    </row>
    <row r="90" spans="1:18" x14ac:dyDescent="0.25">
      <c r="A90" s="75" t="s">
        <v>138</v>
      </c>
      <c r="B90" s="75"/>
      <c r="C90" s="75"/>
      <c r="D90" s="75"/>
      <c r="E90" s="76" t="s">
        <v>139</v>
      </c>
      <c r="F90" s="76"/>
      <c r="G90" s="76"/>
      <c r="H90" s="76" t="s">
        <v>140</v>
      </c>
      <c r="I90" s="76"/>
    </row>
    <row r="91" spans="1:18" x14ac:dyDescent="0.25">
      <c r="A91" s="60"/>
      <c r="B91" s="1"/>
      <c r="C91" s="1"/>
      <c r="D91" s="1"/>
      <c r="E91" s="3"/>
      <c r="F91" s="3"/>
      <c r="G91" s="3"/>
      <c r="H91" s="3"/>
      <c r="I91" s="3"/>
    </row>
  </sheetData>
  <mergeCells count="14">
    <mergeCell ref="H85:I85"/>
    <mergeCell ref="A86:D86"/>
    <mergeCell ref="E86:G86"/>
    <mergeCell ref="H86:I86"/>
    <mergeCell ref="A90:D90"/>
    <mergeCell ref="E90:G90"/>
    <mergeCell ref="H90:I90"/>
    <mergeCell ref="G1:I1"/>
    <mergeCell ref="A3:I3"/>
    <mergeCell ref="A4:A5"/>
    <mergeCell ref="B4:B5"/>
    <mergeCell ref="D4:D5"/>
    <mergeCell ref="E4:E5"/>
    <mergeCell ref="F4:I4"/>
  </mergeCells>
  <pageMargins left="7.874015748031496E-2" right="0.24" top="0" bottom="0" header="0.31496062992125984" footer="0.31496062992125984"/>
  <pageSetup paperSize="9" scale="90" orientation="landscape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877F-138F-4694-826F-F320D6CBF074}">
  <dimension ref="A1:D15"/>
  <sheetViews>
    <sheetView workbookViewId="0">
      <selection activeCell="C1" sqref="C1"/>
    </sheetView>
  </sheetViews>
  <sheetFormatPr defaultRowHeight="14.4" x14ac:dyDescent="0.3"/>
  <cols>
    <col min="1" max="1" width="19.6640625" customWidth="1"/>
    <col min="2" max="3" width="9.44140625" bestFit="1" customWidth="1"/>
    <col min="4" max="4" width="140.21875" bestFit="1" customWidth="1"/>
  </cols>
  <sheetData>
    <row r="1" spans="1:4" x14ac:dyDescent="0.3">
      <c r="A1" s="64" t="s">
        <v>141</v>
      </c>
      <c r="B1" t="str" cm="1">
        <f t="array" ref="B1:B15">_xlfn.TEXTSPLIT(A1,,",",TRUE)</f>
        <v>CFOO1-01</v>
      </c>
      <c r="C1" t="str" cm="1">
        <f t="array" ref="C1:C15">_xlfn.UNIQUE(_xlfn.ANCHORARRAY(B1))</f>
        <v>CFOO1-01</v>
      </c>
      <c r="D1" t="str">
        <f>_xlfn.TEXTJOIN(",",TRUE,_xlfn.ANCHORARRAY(C1))</f>
        <v>CFOO1-01,CFOO1-02,CFOO1-03,CFOO1-04,CFOO2-01,CFOO2-02,CFOO2-03,CFOO3-01,CFOO3-02,CFOO3-03,CFOO3-04,CFOO3-05,CFOO4-01,CFOO4-02,CFOO4-03</v>
      </c>
    </row>
    <row r="2" spans="1:4" x14ac:dyDescent="0.3">
      <c r="B2" t="str">
        <v>CFOO1-02</v>
      </c>
      <c r="C2" t="str">
        <v>CFOO1-02</v>
      </c>
    </row>
    <row r="3" spans="1:4" x14ac:dyDescent="0.3">
      <c r="B3" t="str">
        <v>CFOO1-03</v>
      </c>
      <c r="C3" t="str">
        <v>CFOO1-03</v>
      </c>
    </row>
    <row r="4" spans="1:4" x14ac:dyDescent="0.3">
      <c r="B4" t="str">
        <v>CFOO1-04</v>
      </c>
      <c r="C4" t="str">
        <v>CFOO1-04</v>
      </c>
    </row>
    <row r="5" spans="1:4" x14ac:dyDescent="0.3">
      <c r="B5" t="str">
        <v>CFOO2-01</v>
      </c>
      <c r="C5" t="str">
        <v>CFOO2-01</v>
      </c>
    </row>
    <row r="6" spans="1:4" x14ac:dyDescent="0.3">
      <c r="B6" t="str">
        <v>CFOO2-02</v>
      </c>
      <c r="C6" t="str">
        <v>CFOO2-02</v>
      </c>
    </row>
    <row r="7" spans="1:4" x14ac:dyDescent="0.3">
      <c r="B7" t="str">
        <v>CFOO2-03</v>
      </c>
      <c r="C7" t="str">
        <v>CFOO2-03</v>
      </c>
    </row>
    <row r="8" spans="1:4" x14ac:dyDescent="0.3">
      <c r="B8" t="str">
        <v>CFOO3-01</v>
      </c>
      <c r="C8" t="str">
        <v>CFOO3-01</v>
      </c>
    </row>
    <row r="9" spans="1:4" x14ac:dyDescent="0.3">
      <c r="B9" t="str">
        <v>CFOO3-02</v>
      </c>
      <c r="C9" t="str">
        <v>CFOO3-02</v>
      </c>
    </row>
    <row r="10" spans="1:4" x14ac:dyDescent="0.3">
      <c r="B10" t="str">
        <v>CFOO3-03</v>
      </c>
      <c r="C10" t="str">
        <v>CFOO3-03</v>
      </c>
    </row>
    <row r="11" spans="1:4" x14ac:dyDescent="0.3">
      <c r="B11" t="str">
        <v>CFOO3-04</v>
      </c>
      <c r="C11" t="str">
        <v>CFOO3-04</v>
      </c>
    </row>
    <row r="12" spans="1:4" x14ac:dyDescent="0.3">
      <c r="B12" t="str">
        <v>CFOO3-05</v>
      </c>
      <c r="C12" t="str">
        <v>CFOO3-05</v>
      </c>
    </row>
    <row r="13" spans="1:4" x14ac:dyDescent="0.3">
      <c r="B13" t="str">
        <v>CFOO4-01</v>
      </c>
      <c r="C13" t="str">
        <v>CFOO4-01</v>
      </c>
    </row>
    <row r="14" spans="1:4" x14ac:dyDescent="0.3">
      <c r="B14" t="str">
        <v>CFOO4-02</v>
      </c>
      <c r="C14" t="str">
        <v>CFOO4-02</v>
      </c>
    </row>
    <row r="15" spans="1:4" x14ac:dyDescent="0.3">
      <c r="B15" t="str">
        <v>CFOO4-03</v>
      </c>
      <c r="C15" t="str">
        <v>CFOO4-03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5B6-098E-438A-920F-F09615F156AE}">
  <dimension ref="A1:C7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142</v>
      </c>
      <c r="B1" t="str" cm="1">
        <f t="array" ref="B1:B7">_xlfn.UNIQUE(A:A,FALSE)</f>
        <v>CFOO1-03</v>
      </c>
      <c r="C1" t="str">
        <f>_xlfn.TEXTJOIN(",",TRUE,B:B)</f>
        <v>CFOO1-03,CFOO1-04,CFOO2-01,CFOO3-01,CFOO4-02,CFOO4-03,0</v>
      </c>
    </row>
    <row r="2" spans="1:3" x14ac:dyDescent="0.3">
      <c r="A2" t="s">
        <v>143</v>
      </c>
      <c r="B2" t="str">
        <v>CFOO1-04</v>
      </c>
    </row>
    <row r="3" spans="1:3" x14ac:dyDescent="0.3">
      <c r="A3" t="s">
        <v>144</v>
      </c>
      <c r="B3" t="str">
        <v>CFOO2-01</v>
      </c>
    </row>
    <row r="4" spans="1:3" x14ac:dyDescent="0.3">
      <c r="A4" t="s">
        <v>35</v>
      </c>
      <c r="B4" t="str">
        <v>CFOO3-01</v>
      </c>
    </row>
    <row r="5" spans="1:3" x14ac:dyDescent="0.3">
      <c r="A5" t="s">
        <v>145</v>
      </c>
      <c r="B5" t="str">
        <v>CFOO4-02</v>
      </c>
    </row>
    <row r="6" spans="1:3" x14ac:dyDescent="0.3">
      <c r="A6" t="s">
        <v>146</v>
      </c>
      <c r="B6" t="str">
        <v>CFOO4-03</v>
      </c>
    </row>
    <row r="7" spans="1:3" x14ac:dyDescent="0.3">
      <c r="B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5529-32B8-4062-8066-09FD584F6E7F}">
  <dimension ref="A1"/>
  <sheetViews>
    <sheetView workbookViewId="0">
      <selection activeCell="B2" sqref="B2:E11"/>
    </sheetView>
  </sheetViews>
  <sheetFormatPr defaultRowHeight="14.4" x14ac:dyDescent="0.3"/>
  <cols>
    <col min="2" max="2" width="37.21875" bestFit="1" customWidth="1"/>
    <col min="4" max="4" width="27.77734375" bestFit="1" customWidth="1"/>
    <col min="5" max="5" width="12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KH THU CHI</vt:lpstr>
      <vt:lpstr>Sheet1</vt:lpstr>
      <vt:lpstr>Sheet2</vt:lpstr>
      <vt:lpstr>Sheet3</vt:lpstr>
      <vt:lpstr>'KH THU CHI'!Print_Titles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Cong Danh</dc:creator>
  <cp:lastModifiedBy>Nguyen Thanh Tin</cp:lastModifiedBy>
  <dcterms:created xsi:type="dcterms:W3CDTF">2026-08-14T07:35:18Z</dcterms:created>
  <dcterms:modified xsi:type="dcterms:W3CDTF">2026-09-17T07:20:03Z</dcterms:modified>
</cp:coreProperties>
</file>